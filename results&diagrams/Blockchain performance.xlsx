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https://mysacstate-my.sharepoint.com/personal/sgupta3_csus_edu/Documents/Courses/CSC-258-Distributed Systems/Research Project/"/>
    </mc:Choice>
  </mc:AlternateContent>
  <xr:revisionPtr revIDLastSave="546" documentId="8_{00010601-E8AC-5D46-9056-623F296CB77F}" xr6:coauthVersionLast="47" xr6:coauthVersionMax="47" xr10:uidLastSave="{231B723D-1817-7840-8E3C-56EABA8E9BFE}"/>
  <bookViews>
    <workbookView xWindow="0" yWindow="680" windowWidth="30240" windowHeight="18960" activeTab="3" xr2:uid="{85362398-3BE3-3F41-A148-F7382BF177A4}"/>
  </bookViews>
  <sheets>
    <sheet name="Sheet1" sheetId="1" r:id="rId1"/>
    <sheet name="Internal performance test" sheetId="2" r:id="rId2"/>
    <sheet name="Automation aprch 1 - mine later" sheetId="4" r:id="rId3"/>
    <sheet name="Automation aprch 2 - mine 1st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F22" i="2"/>
  <c r="F23" i="2"/>
  <c r="F24" i="2"/>
  <c r="F25" i="2"/>
  <c r="F26" i="2"/>
  <c r="F27" i="2"/>
  <c r="F28" i="2"/>
  <c r="F29" i="2"/>
  <c r="F20" i="2"/>
  <c r="J13" i="1"/>
  <c r="O13" i="1"/>
  <c r="P13" i="1"/>
  <c r="N13" i="1"/>
  <c r="M13" i="1"/>
  <c r="K13" i="1"/>
  <c r="L13" i="1"/>
  <c r="N12" i="1"/>
  <c r="O12" i="1"/>
  <c r="P12" i="1"/>
  <c r="J12" i="1"/>
  <c r="M12" i="1"/>
  <c r="K12" i="1"/>
  <c r="L12" i="1"/>
  <c r="J11" i="1"/>
  <c r="K11" i="1"/>
  <c r="L11" i="1"/>
  <c r="M11" i="1"/>
  <c r="N11" i="1"/>
  <c r="O11" i="1"/>
  <c r="P11" i="1"/>
  <c r="K10" i="1"/>
  <c r="L10" i="1"/>
  <c r="M10" i="1"/>
  <c r="N10" i="1"/>
  <c r="O10" i="1"/>
  <c r="P10" i="1"/>
  <c r="J10" i="1"/>
  <c r="O8" i="1"/>
  <c r="P8" i="1"/>
  <c r="N8" i="1"/>
  <c r="J8" i="1"/>
  <c r="M8" i="1"/>
  <c r="K8" i="1"/>
  <c r="L8" i="1"/>
  <c r="J7" i="1"/>
  <c r="M7" i="1"/>
  <c r="N7" i="1"/>
  <c r="P7" i="1"/>
  <c r="K7" i="1"/>
  <c r="L7" i="1"/>
  <c r="O7" i="1"/>
  <c r="J5" i="1"/>
  <c r="K5" i="1"/>
  <c r="L5" i="1"/>
  <c r="M5" i="1"/>
  <c r="N5" i="1"/>
  <c r="O5" i="1"/>
  <c r="P5" i="1"/>
  <c r="N4" i="1"/>
  <c r="P4" i="1"/>
  <c r="O4" i="1"/>
  <c r="J4" i="1"/>
  <c r="K4" i="1"/>
  <c r="L4" i="1"/>
  <c r="M4" i="1"/>
  <c r="P3" i="1"/>
  <c r="O3" i="1"/>
  <c r="N3" i="1"/>
  <c r="M3" i="1"/>
  <c r="L3" i="1"/>
  <c r="K3" i="1"/>
  <c r="J3" i="1"/>
  <c r="N2" i="1"/>
  <c r="O2" i="1"/>
  <c r="L2" i="1"/>
  <c r="M2" i="1"/>
  <c r="P2" i="1"/>
  <c r="K2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tc={ADE6430B-5AE8-446E-A60A-3F08C6398878}</author>
    <author>tc={4C5390A7-852E-4C0F-A0C8-CFBFD0FC13DA}</author>
  </authors>
  <commentList>
    <comment ref="H2" authorId="0" shapeId="0" xr:uid="{ADE6430B-5AE8-446E-A60A-3F08C6398878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this calculated? what is the formula?</t>
      </text>
    </comment>
    <comment ref="J2" authorId="1" shapeId="0" xr:uid="{4C5390A7-852E-4C0F-A0C8-CFBFD0FC13DA}">
      <text>
        <t>[Threaded comment]
Your version of Excel allows you to read this threaded comment; however, any edits to it will get removed if the file is opened in a newer version of Excel. Learn more: https://go.microsoft.com/fwlink/?linkid=870924
Comment:
    how is total propagate time calculated?</t>
      </text>
    </comment>
  </commentList>
</comments>
</file>

<file path=xl/sharedStrings.xml><?xml version="1.0" encoding="utf-8"?>
<sst xmlns="http://schemas.openxmlformats.org/spreadsheetml/2006/main" count="263" uniqueCount="134">
  <si>
    <t>Number of nodes</t>
  </si>
  <si>
    <t>Start time</t>
  </si>
  <si>
    <t>Chain sync time</t>
  </si>
  <si>
    <t>Block mine time</t>
  </si>
  <si>
    <t>Block propogation time</t>
  </si>
  <si>
    <t>Provider data fetch time</t>
  </si>
  <si>
    <t>End time</t>
  </si>
  <si>
    <t>Total time to propogate</t>
  </si>
  <si>
    <t>Resource updation time</t>
  </si>
  <si>
    <t>Total time to update data</t>
  </si>
  <si>
    <t>2 (1P - 1R)</t>
  </si>
  <si>
    <r>
      <rPr>
        <b/>
        <sz val="12"/>
        <color theme="1"/>
        <rFont val="Aptos Narrow"/>
        <scheme val="minor"/>
      </rPr>
      <t>Total time to update data</t>
    </r>
    <r>
      <rPr>
        <sz val="12"/>
        <color theme="1"/>
        <rFont val="Aptos Narrow"/>
        <family val="2"/>
        <scheme val="minor"/>
      </rPr>
      <t xml:space="preserve"> = chain sync + mine block + time to get response in provider + provider data fetch + resource updation time</t>
    </r>
  </si>
  <si>
    <t>3 (1P - 2R)</t>
  </si>
  <si>
    <t>5 (1P - 4R)</t>
  </si>
  <si>
    <t>10 (1P - 9R)</t>
  </si>
  <si>
    <r>
      <rPr>
        <b/>
        <sz val="12"/>
        <color theme="1"/>
        <rFont val="Aptos Narrow"/>
        <scheme val="minor"/>
      </rPr>
      <t>Total time to propogate</t>
    </r>
    <r>
      <rPr>
        <sz val="12"/>
        <color theme="1"/>
        <rFont val="Aptos Narrow"/>
        <family val="2"/>
        <scheme val="minor"/>
      </rPr>
      <t xml:space="preserve"> = Chain sync + Block mine + Block propogation</t>
    </r>
  </si>
  <si>
    <t>Optimization 1 (copy chain but check for hash and length)</t>
  </si>
  <si>
    <t>Optimization 1 (copy whole chain but check for hash and length for last block) tested on 10 Nodes</t>
  </si>
  <si>
    <t>Optimization 2 (only check for hash and length)</t>
  </si>
  <si>
    <t>Optimization 2 (fetch only last block and check for hash and length ) tested on 10 Nodes</t>
  </si>
  <si>
    <t>5 (1P - 1R - 3M)</t>
  </si>
  <si>
    <t>7 (1P - 3R - 3M)</t>
  </si>
  <si>
    <t>9 (1P - 5R - 3M)</t>
  </si>
  <si>
    <t>14(1P - 10R - 3M)</t>
  </si>
  <si>
    <t>Approach 1 - Return data first, mine later</t>
  </si>
  <si>
    <t>Number of pods</t>
  </si>
  <si>
    <t>Total time for transaction</t>
  </si>
  <si>
    <t>4 (1M-1R-1P-1I)</t>
  </si>
  <si>
    <t>6 (3M-1R-1P-1I)</t>
  </si>
  <si>
    <t>10 (3M-3R-3P-1I)</t>
  </si>
  <si>
    <t>14 (3M-5R-5P-1I)</t>
  </si>
  <si>
    <t>16 (3M-5R-5P-3I)</t>
  </si>
  <si>
    <t>26 (3M-10R-10P-3I)</t>
  </si>
  <si>
    <t>28 (3M-10R-10P-5I)</t>
  </si>
  <si>
    <t>30 (5M-10R-10P-5I)</t>
  </si>
  <si>
    <t>35 (10M-10R-10P-5I)</t>
  </si>
  <si>
    <t>35 (5M-10R-10P-10I)</t>
  </si>
  <si>
    <t>Approach 2 - Mine first and use smart contract to update data</t>
  </si>
  <si>
    <t>Provider data seen time</t>
  </si>
  <si>
    <t>Time to update data</t>
  </si>
  <si>
    <t>Resource updation time (per transaction)</t>
  </si>
  <si>
    <t>Chain sync time (individual)</t>
  </si>
  <si>
    <t>Block mine time (individual)</t>
  </si>
  <si>
    <t>Block propogation time (individual)</t>
  </si>
  <si>
    <r>
      <rPr>
        <b/>
        <sz val="12"/>
        <color rgb="FF000000"/>
        <rFont val="Aptos Narrow"/>
        <scheme val="minor"/>
      </rPr>
      <t>Total time to propogate</t>
    </r>
    <r>
      <rPr>
        <sz val="12"/>
        <color rgb="FF000000"/>
        <rFont val="Aptos Narrow"/>
        <scheme val="minor"/>
      </rPr>
      <t xml:space="preserve"> = it is total time to propogate data, even when inside gosiip is working.</t>
    </r>
  </si>
  <si>
    <t>Total time for transaction = Resource updation time +	 Chain sync time + Block mine time  + Block propogation time</t>
  </si>
  <si>
    <t>Every data is ms</t>
  </si>
  <si>
    <t>Event Time (UTC)</t>
  </si>
  <si>
    <t>Event Type</t>
  </si>
  <si>
    <t>Requests Count</t>
  </si>
  <si>
    <t>Avg Response (s)</t>
  </si>
  <si>
    <t>P95 Response (s)</t>
  </si>
  <si>
    <t>Min Response (s)</t>
  </si>
  <si>
    <t>Max Response (s)</t>
  </si>
  <si>
    <t>Total Pods</t>
  </si>
  <si>
    <t>Master Pods</t>
  </si>
  <si>
    <t>Requester Pods</t>
  </si>
  <si>
    <t>Provider Pods</t>
  </si>
  <si>
    <t>JWT Pods</t>
  </si>
  <si>
    <t>Node Count</t>
  </si>
  <si>
    <t>2025-08-26T06:55:52Z</t>
  </si>
  <si>
    <t>HPA Update</t>
  </si>
  <si>
    <t>2025-08-26T06:55:54Z</t>
  </si>
  <si>
    <t>2025-08-26T06:56:22Z</t>
  </si>
  <si>
    <t>2025-08-26T06:56:23Z</t>
  </si>
  <si>
    <t>Pods Changed</t>
  </si>
  <si>
    <t>2025-08-26T06:56:26Z</t>
  </si>
  <si>
    <t>Node Changed</t>
  </si>
  <si>
    <t>2025-08-26T06:56:52Z</t>
  </si>
  <si>
    <t>2025-08-26T06:56:53Z</t>
  </si>
  <si>
    <t>2025-08-26T06:57:53Z</t>
  </si>
  <si>
    <t>2025-08-26T06:57:55Z</t>
  </si>
  <si>
    <t>2025-08-26T06:58:23Z</t>
  </si>
  <si>
    <t>2025-08-26T06:58:25Z</t>
  </si>
  <si>
    <t>2025-08-26T06:58:53Z</t>
  </si>
  <si>
    <t>2025-08-26T06:59:17Z</t>
  </si>
  <si>
    <t>2025-08-26T06:59:24Z</t>
  </si>
  <si>
    <t>2025-08-26T06:59:53Z</t>
  </si>
  <si>
    <t>2025-08-26T06:59:54Z</t>
  </si>
  <si>
    <t>2025-08-26T07:00:09Z</t>
  </si>
  <si>
    <t>2025-08-26T07:01:39Z</t>
  </si>
  <si>
    <t>2025-08-26T07:01:53Z</t>
  </si>
  <si>
    <t>2025-08-26T07:02:08Z</t>
  </si>
  <si>
    <t>2025-08-26T07:02:48Z</t>
  </si>
  <si>
    <t>2025-08-26T07:03:39Z</t>
  </si>
  <si>
    <t>2025-08-26T07:03:51Z</t>
  </si>
  <si>
    <t>2025-08-26T07:04:54Z</t>
  </si>
  <si>
    <t>2025-08-26T07:05:24Z</t>
  </si>
  <si>
    <t>2025-08-26T07:06:10Z</t>
  </si>
  <si>
    <t>2025-08-26T07:06:39Z</t>
  </si>
  <si>
    <t>2025-08-26T07:07:40Z</t>
  </si>
  <si>
    <t>2025-08-26T07:08:00Z</t>
  </si>
  <si>
    <t>2025-08-26T07:09:10Z</t>
  </si>
  <si>
    <t>2025-08-26T07:09:28Z</t>
  </si>
  <si>
    <t>2025-08-26T07:10:05Z</t>
  </si>
  <si>
    <t>Final Summary</t>
  </si>
  <si>
    <t>2025-08-26T07:37:49Z</t>
  </si>
  <si>
    <t>2025-08-26T07:38:19Z</t>
  </si>
  <si>
    <t>2025-08-26T07:38:50Z</t>
  </si>
  <si>
    <t>2025-08-26T07:38:52Z</t>
  </si>
  <si>
    <t>2025-08-26T07:39:05Z</t>
  </si>
  <si>
    <t>2025-08-26T07:39:20Z</t>
  </si>
  <si>
    <t>2025-08-26T07:39:22Z</t>
  </si>
  <si>
    <t>2025-08-26T07:39:25Z</t>
  </si>
  <si>
    <t>2025-08-26T07:39:50Z</t>
  </si>
  <si>
    <t>2025-08-26T07:39:53Z</t>
  </si>
  <si>
    <t>2025-08-26T07:39:56Z</t>
  </si>
  <si>
    <t>2025-08-26T07:40:05Z</t>
  </si>
  <si>
    <t>2025-08-26T07:40:26Z</t>
  </si>
  <si>
    <t>2025-08-26T07:40:54Z</t>
  </si>
  <si>
    <t>2025-08-26T07:41:26Z</t>
  </si>
  <si>
    <t>2025-08-26T07:42:53Z</t>
  </si>
  <si>
    <t>2025-08-26T07:43:23Z</t>
  </si>
  <si>
    <t>2025-08-26T07:43:53Z</t>
  </si>
  <si>
    <t>2025-08-26T07:43:55Z</t>
  </si>
  <si>
    <t>2025-08-26T07:51:00Z</t>
  </si>
  <si>
    <t>2025-08-26T07:51:18Z</t>
  </si>
  <si>
    <t>2025-08-26T07:52:16Z</t>
  </si>
  <si>
    <t>2025-08-26T07:52:18Z</t>
  </si>
  <si>
    <t>2025-08-26T07:52:32Z</t>
  </si>
  <si>
    <t>2025-08-26T07:52:33Z</t>
  </si>
  <si>
    <t>2025-08-26T07:52:34Z</t>
  </si>
  <si>
    <t>2025-08-26T07:52:47Z</t>
  </si>
  <si>
    <t>2025-08-26T07:52:48Z</t>
  </si>
  <si>
    <t>2025-08-26T07:52:49Z</t>
  </si>
  <si>
    <t>2025-08-26T07:53:17Z</t>
  </si>
  <si>
    <t>2025-08-26T07:53:19Z</t>
  </si>
  <si>
    <t>2025-08-26T07:53:33Z</t>
  </si>
  <si>
    <t>2025-08-26T07:54:10Z</t>
  </si>
  <si>
    <t>2025-08-26T07:55:19Z</t>
  </si>
  <si>
    <t>2025-08-26T07:55:32Z</t>
  </si>
  <si>
    <t>2025-08-26T07:56:50Z</t>
  </si>
  <si>
    <t>2025-08-26T07:57:20Z</t>
  </si>
  <si>
    <t>2025-08-26T07:58:11Z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</si>
</sst>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Menlo"/>
      <family val="2"/>
    </font>
    <font>
      <sz val="12"/>
      <color theme="1"/>
      <name val="Menlo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f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del Khaleq, Abeer" id="{F4648236-4B05-41F0-83E6-38E12722D2B5}" userId="S::abeer.abdelkhaleq@csus.edu::34206ffc-9a47-451f-ac33-55fce8dd57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5-08-17T19:38:59.55" personId="{F4648236-4B05-41F0-83E6-38E12722D2B5}" id="{ADE6430B-5AE8-446E-A60A-3F08C6398878}">
    <text>how is this calculated? what is the formula?</text>
  </threadedComment>
  <threadedComment ref="J2" dT="2025-08-17T19:38:02.68" personId="{F4648236-4B05-41F0-83E6-38E12722D2B5}" id="{4C5390A7-852E-4C0F-A0C8-CFBFD0FC13DA}">
    <text>how is total propagate time calculated?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0148-C60D-6645-AAAD-317CF9F43317}">
  <dimension ref="A1:T19"/>
  <sheetViews>
    <sheetView topLeftCell="I1" zoomScaleNormal="110" workbookViewId="0">
      <selection activeCell="R2" sqref="R2:T3"/>
    </sheetView>
  </sheetViews>
  <sheetFormatPr baseColWidth="10" defaultColWidth="10.83203125" defaultRowHeight="16" x14ac:dyDescent="0.2"/>
  <cols>
    <col min="1" max="1" width="55.5" style="1" customWidth="1"/>
    <col min="2" max="2" width="23.1640625" style="1" customWidth="1"/>
    <col min="3" max="3" width="31.33203125" style="1" customWidth="1"/>
    <col min="4" max="4" width="25.5" style="1" customWidth="1"/>
    <col min="5" max="5" width="25" style="1" customWidth="1"/>
    <col min="6" max="6" width="24.83203125" style="1" customWidth="1"/>
    <col min="7" max="8" width="21.33203125" style="1" customWidth="1"/>
    <col min="9" max="9" width="40.5" style="1" customWidth="1"/>
    <col min="10" max="11" width="20.83203125" style="1" customWidth="1"/>
    <col min="12" max="12" width="24" style="1" customWidth="1"/>
    <col min="13" max="13" width="23.5" style="1" customWidth="1"/>
    <col min="14" max="14" width="25.1640625" style="1" customWidth="1"/>
    <col min="15" max="15" width="24" style="1" customWidth="1"/>
    <col min="16" max="16" width="23.1640625" style="1" customWidth="1"/>
    <col min="17" max="16384" width="10.83203125" style="1"/>
  </cols>
  <sheetData>
    <row r="1" spans="1:20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3" t="s">
        <v>0</v>
      </c>
      <c r="J1" s="3" t="s">
        <v>2</v>
      </c>
      <c r="K1" s="3" t="s">
        <v>3</v>
      </c>
      <c r="L1" s="3" t="s">
        <v>4</v>
      </c>
      <c r="M1" s="3" t="s">
        <v>7</v>
      </c>
      <c r="N1" s="3" t="s">
        <v>5</v>
      </c>
      <c r="O1" s="3" t="s">
        <v>8</v>
      </c>
      <c r="P1" s="3" t="s">
        <v>9</v>
      </c>
    </row>
    <row r="2" spans="1:20" x14ac:dyDescent="0.2">
      <c r="A2" s="1" t="s">
        <v>10</v>
      </c>
      <c r="B2" s="1">
        <v>1751319880507.9399</v>
      </c>
      <c r="C2" s="1">
        <v>1751319880509.5</v>
      </c>
      <c r="D2" s="1">
        <v>1751319880509.53</v>
      </c>
      <c r="E2" s="1">
        <v>1751319880512.3301</v>
      </c>
      <c r="F2" s="1">
        <v>1751319880510.4099</v>
      </c>
      <c r="G2" s="1">
        <v>1751319880510.5901</v>
      </c>
      <c r="I2" s="1" t="s">
        <v>10</v>
      </c>
      <c r="J2" s="2">
        <f t="shared" ref="J2:L5" si="0">C2-B2</f>
        <v>1.56005859375</v>
      </c>
      <c r="K2" s="2">
        <f t="shared" si="0"/>
        <v>3.0029296875E-2</v>
      </c>
      <c r="L2" s="2">
        <f t="shared" si="0"/>
        <v>2.800048828125</v>
      </c>
      <c r="M2" s="2">
        <f>E2-B2</f>
        <v>4.39013671875</v>
      </c>
      <c r="N2" s="2">
        <f>F2-B2</f>
        <v>2.469970703125</v>
      </c>
      <c r="O2" s="2">
        <f>G2-F2</f>
        <v>0.18017578125</v>
      </c>
      <c r="P2" s="2">
        <f>G2-B2</f>
        <v>2.650146484375</v>
      </c>
      <c r="R2" s="17" t="s">
        <v>11</v>
      </c>
      <c r="S2" s="17"/>
      <c r="T2" s="17"/>
    </row>
    <row r="3" spans="1:20" x14ac:dyDescent="0.2">
      <c r="A3" s="1" t="s">
        <v>12</v>
      </c>
      <c r="B3" s="1">
        <v>1751321084710.1399</v>
      </c>
      <c r="C3" s="1">
        <v>1751321084713.1201</v>
      </c>
      <c r="D3" s="1">
        <v>1751321084713.1499</v>
      </c>
      <c r="E3" s="1">
        <v>1751321084721.1899</v>
      </c>
      <c r="F3" s="1">
        <v>1751321084714.01</v>
      </c>
      <c r="G3" s="1">
        <v>1751321084714.6399</v>
      </c>
      <c r="I3" s="1" t="s">
        <v>12</v>
      </c>
      <c r="J3" s="2">
        <f t="shared" si="0"/>
        <v>2.980224609375</v>
      </c>
      <c r="K3" s="2">
        <f t="shared" si="0"/>
        <v>2.978515625E-2</v>
      </c>
      <c r="L3" s="2">
        <f t="shared" si="0"/>
        <v>8.0400390625</v>
      </c>
      <c r="M3" s="2">
        <f>E3-B3</f>
        <v>11.050048828125</v>
      </c>
      <c r="N3" s="2">
        <f>F3-B3</f>
        <v>3.8701171875</v>
      </c>
      <c r="O3" s="2">
        <f>G3-F3</f>
        <v>0.6298828125</v>
      </c>
      <c r="P3" s="2">
        <f>G3-B3</f>
        <v>4.5</v>
      </c>
      <c r="R3" s="17"/>
      <c r="S3" s="17"/>
      <c r="T3" s="17"/>
    </row>
    <row r="4" spans="1:20" x14ac:dyDescent="0.2">
      <c r="A4" s="1" t="s">
        <v>13</v>
      </c>
      <c r="B4" s="1">
        <v>1751322374074.79</v>
      </c>
      <c r="C4" s="1">
        <v>1751322374080.22</v>
      </c>
      <c r="D4" s="1">
        <v>1751322374080.26</v>
      </c>
      <c r="E4" s="1">
        <v>1751322374104.73</v>
      </c>
      <c r="F4" s="1">
        <v>1751322374082.1101</v>
      </c>
      <c r="G4" s="1">
        <v>1751322374082.77</v>
      </c>
      <c r="I4" s="1" t="s">
        <v>13</v>
      </c>
      <c r="J4" s="2">
        <f t="shared" si="0"/>
        <v>5.429931640625</v>
      </c>
      <c r="K4" s="2">
        <f t="shared" si="0"/>
        <v>4.00390625E-2</v>
      </c>
      <c r="L4" s="2">
        <f t="shared" si="0"/>
        <v>24.469970703125</v>
      </c>
      <c r="M4" s="2">
        <f>E4-B4</f>
        <v>29.93994140625</v>
      </c>
      <c r="N4" s="2">
        <f>F4-B4</f>
        <v>7.320068359375</v>
      </c>
      <c r="O4" s="2">
        <f>G4-F4</f>
        <v>0.659912109375</v>
      </c>
      <c r="P4" s="2">
        <f>G4-B4</f>
        <v>7.97998046875</v>
      </c>
    </row>
    <row r="5" spans="1:20" x14ac:dyDescent="0.2">
      <c r="A5" s="1" t="s">
        <v>14</v>
      </c>
      <c r="B5" s="1">
        <v>1751322735181.01</v>
      </c>
      <c r="C5" s="1">
        <v>1751322735193.1001</v>
      </c>
      <c r="D5" s="1">
        <v>1751322735193.1299</v>
      </c>
      <c r="E5" s="1">
        <v>1751322735291.0801</v>
      </c>
      <c r="F5" s="1">
        <v>1751322735194.9099</v>
      </c>
      <c r="G5" s="1">
        <v>1751322735195.5</v>
      </c>
      <c r="I5" s="1" t="s">
        <v>14</v>
      </c>
      <c r="J5" s="2">
        <f t="shared" si="0"/>
        <v>12.090087890625</v>
      </c>
      <c r="K5" s="2">
        <f t="shared" si="0"/>
        <v>2.978515625E-2</v>
      </c>
      <c r="L5" s="2">
        <f t="shared" si="0"/>
        <v>97.9501953125</v>
      </c>
      <c r="M5" s="2">
        <f>E5-B5</f>
        <v>110.070068359375</v>
      </c>
      <c r="N5" s="2">
        <f>F5-B5</f>
        <v>13.89990234375</v>
      </c>
      <c r="O5" s="2">
        <f>G5-F5</f>
        <v>0.590087890625</v>
      </c>
      <c r="P5" s="2">
        <f>G5-B5</f>
        <v>14.489990234375</v>
      </c>
      <c r="R5" s="17" t="s">
        <v>15</v>
      </c>
      <c r="S5" s="17"/>
      <c r="T5" s="17"/>
    </row>
    <row r="6" spans="1:20" x14ac:dyDescent="0.2">
      <c r="J6" s="2"/>
      <c r="K6" s="2"/>
      <c r="L6" s="2"/>
      <c r="M6" s="2"/>
      <c r="N6" s="2"/>
      <c r="O6" s="2"/>
      <c r="P6" s="2"/>
      <c r="R6" s="17"/>
      <c r="S6" s="17"/>
      <c r="T6" s="17"/>
    </row>
    <row r="7" spans="1:20" ht="51" x14ac:dyDescent="0.2">
      <c r="A7" s="1" t="s">
        <v>16</v>
      </c>
      <c r="B7" s="1">
        <v>1751341935868.4299</v>
      </c>
      <c r="C7" s="1">
        <v>1751341935877.0901</v>
      </c>
      <c r="D7" s="1">
        <v>1751341935877.1101</v>
      </c>
      <c r="E7" s="1">
        <v>1751341935968</v>
      </c>
      <c r="F7" s="1">
        <v>1751341935877.9399</v>
      </c>
      <c r="G7" s="1">
        <v>1751341935878.6299</v>
      </c>
      <c r="I7" s="4" t="s">
        <v>17</v>
      </c>
      <c r="J7" s="2">
        <f t="shared" ref="J7:L8" si="1">C7-B7</f>
        <v>8.66015625</v>
      </c>
      <c r="K7" s="2">
        <f t="shared" si="1"/>
        <v>2.001953125E-2</v>
      </c>
      <c r="L7" s="2">
        <f t="shared" si="1"/>
        <v>90.889892578125</v>
      </c>
      <c r="M7" s="2">
        <f>E7-B7</f>
        <v>99.570068359375</v>
      </c>
      <c r="N7" s="2">
        <f>F7-B7</f>
        <v>9.510009765625</v>
      </c>
      <c r="O7" s="2">
        <f>G7-F7</f>
        <v>0.68994140625</v>
      </c>
      <c r="P7" s="2">
        <f>G7-B7</f>
        <v>10.199951171875</v>
      </c>
    </row>
    <row r="8" spans="1:20" ht="34" x14ac:dyDescent="0.2">
      <c r="A8" s="1" t="s">
        <v>18</v>
      </c>
      <c r="B8" s="1">
        <v>1751342705656.77</v>
      </c>
      <c r="C8" s="1">
        <v>1751342705664.3301</v>
      </c>
      <c r="D8" s="1">
        <v>1751342705664.3601</v>
      </c>
      <c r="E8" s="1">
        <v>1751342705729.25</v>
      </c>
      <c r="F8" s="1">
        <v>1751342705665.26</v>
      </c>
      <c r="G8" s="1">
        <v>1751342705665.8701</v>
      </c>
      <c r="I8" s="4" t="s">
        <v>19</v>
      </c>
      <c r="J8" s="2">
        <f t="shared" si="1"/>
        <v>7.56005859375</v>
      </c>
      <c r="K8" s="2">
        <f t="shared" si="1"/>
        <v>3.0029296875E-2</v>
      </c>
      <c r="L8" s="2">
        <f t="shared" si="1"/>
        <v>64.889892578125</v>
      </c>
      <c r="M8" s="2">
        <f>E8-B8</f>
        <v>72.47998046875</v>
      </c>
      <c r="N8" s="2">
        <f>F8-B8</f>
        <v>8.489990234375</v>
      </c>
      <c r="O8" s="2">
        <f>G8-F8</f>
        <v>0.610107421875</v>
      </c>
      <c r="P8" s="2">
        <f>G8-B8</f>
        <v>9.10009765625</v>
      </c>
    </row>
    <row r="9" spans="1:20" x14ac:dyDescent="0.2">
      <c r="A9" s="3" t="s">
        <v>0</v>
      </c>
      <c r="B9" s="3" t="s">
        <v>1</v>
      </c>
      <c r="C9" s="3" t="s">
        <v>2</v>
      </c>
      <c r="D9" s="3" t="s">
        <v>3</v>
      </c>
      <c r="E9" s="3" t="s">
        <v>4</v>
      </c>
      <c r="F9" s="3" t="s">
        <v>5</v>
      </c>
      <c r="G9" s="3" t="s">
        <v>6</v>
      </c>
      <c r="H9" s="3"/>
      <c r="I9" s="3" t="s">
        <v>0</v>
      </c>
      <c r="J9" s="3" t="s">
        <v>2</v>
      </c>
      <c r="K9" s="3" t="s">
        <v>3</v>
      </c>
      <c r="L9" s="3" t="s">
        <v>4</v>
      </c>
      <c r="M9" s="3" t="s">
        <v>7</v>
      </c>
      <c r="N9" s="3" t="s">
        <v>5</v>
      </c>
      <c r="O9" s="3" t="s">
        <v>8</v>
      </c>
      <c r="P9" s="3" t="s">
        <v>9</v>
      </c>
    </row>
    <row r="10" spans="1:20" x14ac:dyDescent="0.2">
      <c r="A10" s="1" t="s">
        <v>20</v>
      </c>
      <c r="B10" s="1">
        <v>1751350578617.3899</v>
      </c>
      <c r="C10" s="1">
        <v>1751350578621.52</v>
      </c>
      <c r="D10" s="1">
        <v>1751350578621.55</v>
      </c>
      <c r="E10" s="1">
        <v>1751350578638.8301</v>
      </c>
      <c r="F10" s="1">
        <v>1751350578622.6001</v>
      </c>
      <c r="G10" s="1">
        <v>1751350578623.03</v>
      </c>
      <c r="I10" s="1" t="s">
        <v>20</v>
      </c>
      <c r="J10" s="2">
        <f>C10-B10</f>
        <v>4.130126953125</v>
      </c>
      <c r="K10" s="2">
        <f>D10-C10</f>
        <v>3.0029296875E-2</v>
      </c>
      <c r="L10" s="2">
        <f>E10-D10</f>
        <v>17.280029296875</v>
      </c>
      <c r="M10" s="2">
        <f>E10-B10</f>
        <v>21.440185546875</v>
      </c>
      <c r="N10" s="2">
        <f>F10-B10</f>
        <v>5.210205078125</v>
      </c>
      <c r="O10" s="2">
        <f>G10-F10</f>
        <v>0.429931640625</v>
      </c>
      <c r="P10" s="2">
        <f>G10-B10</f>
        <v>5.64013671875</v>
      </c>
    </row>
    <row r="11" spans="1:20" x14ac:dyDescent="0.2">
      <c r="A11" s="1" t="s">
        <v>21</v>
      </c>
      <c r="B11" s="1">
        <v>1751350009282.3701</v>
      </c>
      <c r="C11" s="1">
        <v>1751350009286.6399</v>
      </c>
      <c r="D11" s="1">
        <v>1751350009286.6699</v>
      </c>
      <c r="E11" s="1">
        <v>1751350009320.1799</v>
      </c>
      <c r="F11" s="1">
        <v>1751350009287.6599</v>
      </c>
      <c r="G11" s="1">
        <v>1751350009288.0901</v>
      </c>
      <c r="I11" s="1" t="s">
        <v>21</v>
      </c>
      <c r="J11" s="2">
        <f t="shared" ref="J11:J12" si="2">C11-B11</f>
        <v>4.269775390625</v>
      </c>
      <c r="K11" s="2">
        <f t="shared" ref="K11:K13" si="3">D11-C11</f>
        <v>3.0029296875E-2</v>
      </c>
      <c r="L11" s="2">
        <f t="shared" ref="L11:L13" si="4">E11-D11</f>
        <v>33.510009765625</v>
      </c>
      <c r="M11" s="2">
        <f t="shared" ref="M11:M13" si="5">E11-B11</f>
        <v>37.809814453125</v>
      </c>
      <c r="N11" s="2">
        <f t="shared" ref="N11:N13" si="6">F11-B11</f>
        <v>5.289794921875</v>
      </c>
      <c r="O11" s="2">
        <f t="shared" ref="O11:O13" si="7">G11-F11</f>
        <v>0.43017578125</v>
      </c>
      <c r="P11" s="2">
        <f t="shared" ref="P11:P13" si="8">G11-B11</f>
        <v>5.719970703125</v>
      </c>
    </row>
    <row r="12" spans="1:20" x14ac:dyDescent="0.2">
      <c r="A12" s="1" t="s">
        <v>22</v>
      </c>
      <c r="B12" s="1">
        <v>1751351356909.3799</v>
      </c>
      <c r="C12" s="1">
        <v>1751351356913.27</v>
      </c>
      <c r="D12" s="1">
        <v>1751351356913.3</v>
      </c>
      <c r="E12" s="1">
        <v>1751351356974.4099</v>
      </c>
      <c r="F12" s="1">
        <v>1751351356914.3601</v>
      </c>
      <c r="G12" s="1">
        <v>1751351356914.8</v>
      </c>
      <c r="I12" s="1" t="s">
        <v>22</v>
      </c>
      <c r="J12" s="2">
        <f t="shared" si="2"/>
        <v>3.89013671875</v>
      </c>
      <c r="K12" s="2">
        <f t="shared" si="3"/>
        <v>3.0029296875E-2</v>
      </c>
      <c r="L12" s="2">
        <f t="shared" si="4"/>
        <v>61.10986328125</v>
      </c>
      <c r="M12" s="2">
        <f t="shared" si="5"/>
        <v>65.030029296875</v>
      </c>
      <c r="N12" s="2">
        <f t="shared" si="6"/>
        <v>4.980224609375</v>
      </c>
      <c r="O12" s="2">
        <f t="shared" si="7"/>
        <v>0.43994140625</v>
      </c>
      <c r="P12" s="2">
        <f t="shared" si="8"/>
        <v>5.420166015625</v>
      </c>
    </row>
    <row r="13" spans="1:20" x14ac:dyDescent="0.2">
      <c r="A13" s="1" t="s">
        <v>23</v>
      </c>
      <c r="B13" s="1">
        <v>1751351676129.52</v>
      </c>
      <c r="C13" s="1">
        <v>1751351676133.6299</v>
      </c>
      <c r="D13" s="1">
        <v>1751351676133.6599</v>
      </c>
      <c r="E13" s="1">
        <v>1751351676293.9199</v>
      </c>
      <c r="F13" s="1">
        <v>1751351676134.6899</v>
      </c>
      <c r="G13" s="1">
        <v>1751351676135.1399</v>
      </c>
      <c r="I13" s="1" t="s">
        <v>23</v>
      </c>
      <c r="J13" s="2">
        <f>C13-B13</f>
        <v>4.10986328125</v>
      </c>
      <c r="K13" s="2">
        <f t="shared" si="3"/>
        <v>3.0029296875E-2</v>
      </c>
      <c r="L13" s="2">
        <f t="shared" si="4"/>
        <v>160.260009765625</v>
      </c>
      <c r="M13" s="2">
        <f t="shared" si="5"/>
        <v>164.39990234375</v>
      </c>
      <c r="N13" s="2">
        <f t="shared" si="6"/>
        <v>5.169921875</v>
      </c>
      <c r="O13" s="2">
        <f t="shared" si="7"/>
        <v>0.449951171875</v>
      </c>
      <c r="P13" s="2">
        <f t="shared" si="8"/>
        <v>5.619873046875</v>
      </c>
    </row>
    <row r="14" spans="1:20" x14ac:dyDescent="0.2">
      <c r="J14" s="2"/>
      <c r="K14" s="2"/>
      <c r="L14" s="2"/>
      <c r="M14" s="2"/>
      <c r="N14" s="2"/>
      <c r="O14" s="2"/>
      <c r="P14" s="2"/>
    </row>
    <row r="16" spans="1:20" ht="16" customHeight="1" x14ac:dyDescent="0.2"/>
    <row r="19" ht="16" customHeight="1" x14ac:dyDescent="0.2"/>
  </sheetData>
  <mergeCells count="2">
    <mergeCell ref="R2:T3"/>
    <mergeCell ref="R5:T6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E2A3-39B2-CE4A-A9D6-322A6339A0EE}">
  <dimension ref="A1:L31"/>
  <sheetViews>
    <sheetView zoomScaleNormal="130" workbookViewId="0">
      <selection activeCell="F4" sqref="F4"/>
    </sheetView>
  </sheetViews>
  <sheetFormatPr baseColWidth="10" defaultColWidth="10.83203125" defaultRowHeight="16" x14ac:dyDescent="0.2"/>
  <cols>
    <col min="1" max="1" width="10.83203125" style="5"/>
    <col min="2" max="2" width="22" style="5" customWidth="1"/>
    <col min="3" max="3" width="19.33203125" style="5" customWidth="1"/>
    <col min="4" max="4" width="20.33203125" style="5" customWidth="1"/>
    <col min="5" max="5" width="27" style="5" customWidth="1"/>
    <col min="6" max="6" width="18.6640625" style="5" customWidth="1"/>
    <col min="7" max="7" width="17.6640625" style="5" customWidth="1"/>
    <col min="8" max="8" width="18.6640625" style="5" customWidth="1"/>
    <col min="9" max="9" width="17.5" customWidth="1"/>
    <col min="10" max="10" width="16.5" style="5" customWidth="1"/>
    <col min="11" max="16384" width="10.83203125" style="5"/>
  </cols>
  <sheetData>
    <row r="1" spans="1:12" ht="34" x14ac:dyDescent="0.2">
      <c r="E1" s="6" t="s">
        <v>24</v>
      </c>
    </row>
    <row r="2" spans="1:12" ht="51" x14ac:dyDescent="0.2">
      <c r="A2" s="6" t="s">
        <v>0</v>
      </c>
      <c r="B2" s="6" t="s">
        <v>25</v>
      </c>
      <c r="C2" s="6" t="s">
        <v>40</v>
      </c>
      <c r="D2" s="6" t="s">
        <v>41</v>
      </c>
      <c r="E2" s="6" t="s">
        <v>42</v>
      </c>
      <c r="F2" s="6" t="s">
        <v>43</v>
      </c>
      <c r="G2" s="6" t="s">
        <v>7</v>
      </c>
      <c r="H2" s="6" t="s">
        <v>26</v>
      </c>
      <c r="I2" s="5"/>
      <c r="J2" s="18" t="s">
        <v>44</v>
      </c>
      <c r="K2" s="17"/>
      <c r="L2" s="17"/>
    </row>
    <row r="3" spans="1:12" x14ac:dyDescent="0.2">
      <c r="A3" s="7">
        <v>1</v>
      </c>
      <c r="B3" s="7" t="s">
        <v>27</v>
      </c>
      <c r="C3" s="7">
        <v>14.31</v>
      </c>
      <c r="D3" s="7">
        <v>22.97</v>
      </c>
      <c r="E3" s="7">
        <v>0.56999999999999995</v>
      </c>
      <c r="F3" s="7">
        <v>477.36399999999998</v>
      </c>
      <c r="G3" s="7">
        <v>460.92</v>
      </c>
      <c r="H3" s="7">
        <v>477.3</v>
      </c>
      <c r="I3" s="5"/>
      <c r="J3" s="17"/>
      <c r="K3" s="17"/>
      <c r="L3" s="17"/>
    </row>
    <row r="4" spans="1:12" x14ac:dyDescent="0.2">
      <c r="A4" s="7">
        <v>1</v>
      </c>
      <c r="B4" s="7" t="s">
        <v>28</v>
      </c>
      <c r="C4" s="7">
        <v>12.05</v>
      </c>
      <c r="D4" s="7">
        <v>34.72</v>
      </c>
      <c r="E4" s="7">
        <v>0.44</v>
      </c>
      <c r="F4" s="7">
        <v>480.93</v>
      </c>
      <c r="G4" s="7">
        <v>516.1</v>
      </c>
      <c r="H4" s="7">
        <v>528.15</v>
      </c>
      <c r="I4" s="5"/>
      <c r="J4" s="7"/>
    </row>
    <row r="5" spans="1:12" x14ac:dyDescent="0.2">
      <c r="A5" s="10">
        <v>1</v>
      </c>
      <c r="B5" s="10" t="s">
        <v>29</v>
      </c>
      <c r="C5" s="10">
        <v>16.190000000000001</v>
      </c>
      <c r="D5" s="7">
        <v>44.25</v>
      </c>
      <c r="E5" s="7">
        <v>0.75</v>
      </c>
      <c r="F5" s="7">
        <v>1630.92</v>
      </c>
      <c r="G5" s="7">
        <v>1675.92</v>
      </c>
      <c r="H5" s="7">
        <v>1692.11</v>
      </c>
      <c r="I5" s="5"/>
      <c r="J5" s="19" t="s">
        <v>45</v>
      </c>
      <c r="K5" s="19"/>
      <c r="L5" s="19"/>
    </row>
    <row r="6" spans="1:12" x14ac:dyDescent="0.2">
      <c r="A6" s="7">
        <v>2</v>
      </c>
      <c r="B6" s="7" t="s">
        <v>30</v>
      </c>
      <c r="C6" s="7">
        <v>98.54</v>
      </c>
      <c r="D6" s="7">
        <v>222.59</v>
      </c>
      <c r="E6" s="7">
        <v>5.26</v>
      </c>
      <c r="F6" s="7">
        <v>6211.09</v>
      </c>
      <c r="G6" s="7">
        <v>3790.33</v>
      </c>
      <c r="H6" s="7">
        <v>3888.87</v>
      </c>
      <c r="I6" s="5"/>
      <c r="J6" s="19"/>
      <c r="K6" s="19"/>
      <c r="L6" s="19"/>
    </row>
    <row r="7" spans="1:12" x14ac:dyDescent="0.2">
      <c r="A7" s="7">
        <v>2</v>
      </c>
      <c r="B7" s="7" t="s">
        <v>31</v>
      </c>
      <c r="C7" s="7">
        <v>32.82</v>
      </c>
      <c r="D7" s="7">
        <v>100.33</v>
      </c>
      <c r="E7" s="7">
        <v>1.44</v>
      </c>
      <c r="F7" s="7">
        <v>4096.95</v>
      </c>
      <c r="G7" s="7">
        <v>1072.44</v>
      </c>
      <c r="H7" s="7">
        <v>1105.25</v>
      </c>
      <c r="I7" s="5"/>
      <c r="J7" s="19"/>
      <c r="K7" s="19"/>
      <c r="L7" s="19"/>
    </row>
    <row r="8" spans="1:12" x14ac:dyDescent="0.2">
      <c r="A8" s="7">
        <v>2</v>
      </c>
      <c r="B8" s="7" t="s">
        <v>32</v>
      </c>
      <c r="C8" s="7">
        <v>135.27000000000001</v>
      </c>
      <c r="D8" s="7">
        <v>357.34</v>
      </c>
      <c r="E8" s="7">
        <v>7.05</v>
      </c>
      <c r="F8" s="7">
        <v>7505.51</v>
      </c>
      <c r="G8" s="7">
        <v>4711.1499999999996</v>
      </c>
      <c r="H8" s="7">
        <v>4846.42</v>
      </c>
      <c r="I8" s="5"/>
      <c r="J8" s="7"/>
    </row>
    <row r="9" spans="1:12" x14ac:dyDescent="0.2">
      <c r="A9" s="10">
        <v>2</v>
      </c>
      <c r="B9" s="10" t="s">
        <v>33</v>
      </c>
      <c r="C9" s="10">
        <v>76.73</v>
      </c>
      <c r="D9" s="11">
        <v>587.15</v>
      </c>
      <c r="E9" s="11">
        <v>18.2</v>
      </c>
      <c r="F9" s="7">
        <v>10961.37</v>
      </c>
      <c r="G9" s="7">
        <v>11102.76</v>
      </c>
      <c r="H9" s="7">
        <v>11179.49</v>
      </c>
      <c r="I9" s="5"/>
      <c r="J9" s="19" t="s">
        <v>46</v>
      </c>
      <c r="K9" s="19"/>
      <c r="L9" s="19"/>
    </row>
    <row r="10" spans="1:12" x14ac:dyDescent="0.2">
      <c r="A10" s="7">
        <v>3</v>
      </c>
      <c r="B10" s="7" t="s">
        <v>34</v>
      </c>
      <c r="C10" s="7">
        <v>90.99</v>
      </c>
      <c r="D10" s="7">
        <v>616.72</v>
      </c>
      <c r="E10" s="7">
        <v>9.5399999999999991</v>
      </c>
      <c r="F10" s="7">
        <v>11590.74</v>
      </c>
      <c r="G10" s="7">
        <v>10564.99</v>
      </c>
      <c r="H10" s="7">
        <v>10655.98</v>
      </c>
      <c r="I10" s="5"/>
      <c r="J10" s="19"/>
      <c r="K10" s="19"/>
      <c r="L10" s="19"/>
    </row>
    <row r="11" spans="1:12" x14ac:dyDescent="0.2">
      <c r="A11" s="7">
        <v>3</v>
      </c>
      <c r="B11" s="7" t="s">
        <v>35</v>
      </c>
      <c r="C11" s="7">
        <v>226.61</v>
      </c>
      <c r="D11" s="7">
        <v>1124.05</v>
      </c>
      <c r="E11" s="7">
        <v>40.68</v>
      </c>
      <c r="F11" s="7">
        <v>24486.65</v>
      </c>
      <c r="G11" s="7">
        <v>14908.98</v>
      </c>
      <c r="H11" s="7">
        <v>15135.6</v>
      </c>
      <c r="I11" s="5"/>
      <c r="J11" s="19"/>
      <c r="K11" s="19"/>
      <c r="L11" s="19"/>
    </row>
    <row r="12" spans="1:12" x14ac:dyDescent="0.2">
      <c r="A12" s="10">
        <v>3</v>
      </c>
      <c r="B12" s="10" t="s">
        <v>36</v>
      </c>
      <c r="C12" s="10">
        <v>60.98</v>
      </c>
      <c r="D12" s="7">
        <v>517.13</v>
      </c>
      <c r="E12" s="7">
        <v>19.18</v>
      </c>
      <c r="F12" s="7">
        <v>19262.939999999999</v>
      </c>
      <c r="G12" s="7">
        <v>13016.75</v>
      </c>
      <c r="H12" s="7">
        <v>13077.72</v>
      </c>
      <c r="I12" s="5"/>
      <c r="J12" s="7"/>
    </row>
    <row r="13" spans="1:12" x14ac:dyDescent="0.2">
      <c r="A13" s="7">
        <v>4</v>
      </c>
      <c r="B13" s="7" t="s">
        <v>34</v>
      </c>
      <c r="C13" s="7">
        <v>199.95</v>
      </c>
      <c r="D13" s="7">
        <v>1665.11</v>
      </c>
      <c r="E13" s="7">
        <v>44.7</v>
      </c>
      <c r="F13" s="7">
        <v>10903.26</v>
      </c>
      <c r="G13" s="7">
        <v>12613.07</v>
      </c>
      <c r="H13" s="7">
        <v>12813.02</v>
      </c>
      <c r="I13" s="5"/>
      <c r="J13" s="7"/>
    </row>
    <row r="14" spans="1:12" x14ac:dyDescent="0.2">
      <c r="A14" s="7"/>
      <c r="B14" s="7"/>
      <c r="C14" s="7"/>
      <c r="D14" s="7"/>
      <c r="E14" s="7"/>
      <c r="F14" s="7"/>
      <c r="G14" s="7"/>
      <c r="H14" s="7"/>
      <c r="I14" s="5"/>
      <c r="J14" s="7"/>
    </row>
    <row r="15" spans="1:12" x14ac:dyDescent="0.2">
      <c r="B15" s="7"/>
      <c r="C15" s="7"/>
      <c r="D15" s="7"/>
      <c r="E15" s="7"/>
      <c r="F15" s="7"/>
      <c r="G15" s="7"/>
      <c r="H15" s="7"/>
      <c r="I15" s="5"/>
      <c r="J15" s="7"/>
    </row>
    <row r="16" spans="1:12" x14ac:dyDescent="0.2">
      <c r="B16" s="7"/>
      <c r="C16" s="7"/>
      <c r="D16" s="7"/>
      <c r="E16" s="7"/>
      <c r="F16" s="7"/>
      <c r="G16" s="7"/>
      <c r="H16" s="7"/>
      <c r="I16" s="5"/>
      <c r="J16" s="7"/>
    </row>
    <row r="17" spans="1:10" x14ac:dyDescent="0.2">
      <c r="B17" s="7"/>
      <c r="C17" s="7"/>
      <c r="D17" s="7"/>
      <c r="E17" s="7"/>
      <c r="F17" s="7"/>
      <c r="G17" s="7"/>
      <c r="H17" s="7"/>
      <c r="I17" s="5"/>
      <c r="J17" s="7"/>
    </row>
    <row r="18" spans="1:10" ht="51" x14ac:dyDescent="0.2">
      <c r="B18" s="7"/>
      <c r="C18" s="7"/>
      <c r="D18" s="7"/>
      <c r="E18" s="6" t="s">
        <v>37</v>
      </c>
      <c r="F18" s="7"/>
      <c r="G18" s="7"/>
      <c r="H18" s="7"/>
      <c r="I18" s="5"/>
      <c r="J18" s="7"/>
    </row>
    <row r="19" spans="1:10" ht="34" x14ac:dyDescent="0.2">
      <c r="A19" s="6" t="s">
        <v>0</v>
      </c>
      <c r="B19" s="6" t="s">
        <v>25</v>
      </c>
      <c r="C19" s="6" t="s">
        <v>2</v>
      </c>
      <c r="D19" s="6" t="s">
        <v>3</v>
      </c>
      <c r="E19" s="6" t="s">
        <v>38</v>
      </c>
      <c r="F19" s="12" t="s">
        <v>39</v>
      </c>
      <c r="G19" s="6" t="s">
        <v>9</v>
      </c>
      <c r="H19" s="6" t="s">
        <v>7</v>
      </c>
      <c r="I19" s="6" t="s">
        <v>26</v>
      </c>
      <c r="J19" s="7"/>
    </row>
    <row r="20" spans="1:10" x14ac:dyDescent="0.2">
      <c r="A20" s="7">
        <v>1</v>
      </c>
      <c r="B20" s="7" t="s">
        <v>27</v>
      </c>
      <c r="C20" s="7">
        <v>4.1500000000000004</v>
      </c>
      <c r="D20" s="7">
        <v>0.32</v>
      </c>
      <c r="E20" s="7">
        <v>16.739999999999998</v>
      </c>
      <c r="F20" s="7">
        <f>SUM(G20-E20)</f>
        <v>7.4300000000000033</v>
      </c>
      <c r="G20" s="7">
        <v>24.17</v>
      </c>
      <c r="H20" s="7">
        <v>24.17</v>
      </c>
      <c r="I20" s="7">
        <v>44.13</v>
      </c>
      <c r="J20" s="7"/>
    </row>
    <row r="21" spans="1:10" x14ac:dyDescent="0.2">
      <c r="A21" s="7">
        <v>1</v>
      </c>
      <c r="B21" s="7" t="s">
        <v>28</v>
      </c>
      <c r="C21" s="7">
        <v>13.46</v>
      </c>
      <c r="D21" s="7">
        <v>0.19</v>
      </c>
      <c r="E21" s="7">
        <v>77.78</v>
      </c>
      <c r="F21" s="7">
        <f t="shared" ref="F21:F29" si="0">SUM(G21-E21)</f>
        <v>8.7800000000000011</v>
      </c>
      <c r="G21" s="7">
        <v>86.56</v>
      </c>
      <c r="H21" s="7">
        <v>86.56</v>
      </c>
      <c r="I21" s="7">
        <v>136.75</v>
      </c>
      <c r="J21" s="7"/>
    </row>
    <row r="22" spans="1:10" x14ac:dyDescent="0.2">
      <c r="A22" s="7">
        <v>1</v>
      </c>
      <c r="B22" s="7" t="s">
        <v>29</v>
      </c>
      <c r="C22" s="8">
        <v>12.72</v>
      </c>
      <c r="D22" s="8">
        <v>0.24</v>
      </c>
      <c r="E22" s="7">
        <v>317.27999999999997</v>
      </c>
      <c r="F22" s="7">
        <f t="shared" si="0"/>
        <v>12</v>
      </c>
      <c r="G22" s="7">
        <v>329.28</v>
      </c>
      <c r="H22" s="7">
        <v>438.25</v>
      </c>
      <c r="I22" s="7">
        <v>708.83</v>
      </c>
    </row>
    <row r="23" spans="1:10" x14ac:dyDescent="0.2">
      <c r="A23" s="7">
        <v>2</v>
      </c>
      <c r="B23" s="7" t="s">
        <v>30</v>
      </c>
      <c r="C23" s="7">
        <v>17.87</v>
      </c>
      <c r="D23" s="7">
        <v>0.28999999999999998</v>
      </c>
      <c r="E23" s="7">
        <v>95</v>
      </c>
      <c r="F23" s="10">
        <f t="shared" si="0"/>
        <v>7.7999999999999972</v>
      </c>
      <c r="G23" s="10">
        <v>102.8</v>
      </c>
      <c r="H23" s="7">
        <v>388.84</v>
      </c>
      <c r="I23" s="7">
        <v>984.8</v>
      </c>
    </row>
    <row r="24" spans="1:10" x14ac:dyDescent="0.2">
      <c r="A24" s="7">
        <v>2</v>
      </c>
      <c r="B24" s="7" t="s">
        <v>31</v>
      </c>
      <c r="C24" s="7">
        <v>22.53</v>
      </c>
      <c r="D24" s="7">
        <v>0.5</v>
      </c>
      <c r="E24" s="7">
        <v>110.09</v>
      </c>
      <c r="F24" s="7">
        <f t="shared" si="0"/>
        <v>15.079999999999998</v>
      </c>
      <c r="G24" s="7">
        <v>125.17</v>
      </c>
      <c r="H24" s="7">
        <v>433.34</v>
      </c>
      <c r="I24" s="7">
        <v>1168.7</v>
      </c>
    </row>
    <row r="25" spans="1:10" x14ac:dyDescent="0.2">
      <c r="A25" s="7">
        <v>2</v>
      </c>
      <c r="B25" s="7" t="s">
        <v>32</v>
      </c>
      <c r="C25" s="7">
        <v>21.55</v>
      </c>
      <c r="D25" s="7">
        <v>0.52</v>
      </c>
      <c r="E25" s="7">
        <v>105.13</v>
      </c>
      <c r="F25" s="10">
        <f t="shared" si="0"/>
        <v>9.75</v>
      </c>
      <c r="G25" s="10">
        <v>114.88</v>
      </c>
      <c r="H25" s="7">
        <v>649.17999999999995</v>
      </c>
      <c r="I25" s="7">
        <v>3012.56</v>
      </c>
    </row>
    <row r="26" spans="1:10" x14ac:dyDescent="0.2">
      <c r="A26" s="7">
        <v>3</v>
      </c>
      <c r="B26" s="7" t="s">
        <v>33</v>
      </c>
      <c r="C26" s="7">
        <v>28.9</v>
      </c>
      <c r="D26" s="7">
        <v>0.52</v>
      </c>
      <c r="E26" s="7">
        <v>173.03</v>
      </c>
      <c r="F26" s="7">
        <f t="shared" si="0"/>
        <v>17.930000000000007</v>
      </c>
      <c r="G26" s="7">
        <v>190.96</v>
      </c>
      <c r="H26" s="7">
        <v>913.74</v>
      </c>
      <c r="I26" s="7">
        <v>3196.88</v>
      </c>
    </row>
    <row r="27" spans="1:10" x14ac:dyDescent="0.2">
      <c r="A27" s="7">
        <v>3</v>
      </c>
      <c r="B27" s="7" t="s">
        <v>34</v>
      </c>
      <c r="C27" s="7">
        <v>80.94</v>
      </c>
      <c r="D27" s="7">
        <v>4.5599999999999996</v>
      </c>
      <c r="E27" s="7">
        <v>727.59</v>
      </c>
      <c r="F27" s="7">
        <f t="shared" si="0"/>
        <v>22.559999999999945</v>
      </c>
      <c r="G27" s="7">
        <v>750.15</v>
      </c>
      <c r="H27" s="7">
        <v>2744.01</v>
      </c>
      <c r="I27" s="7">
        <v>5409.64</v>
      </c>
    </row>
    <row r="28" spans="1:10" x14ac:dyDescent="0.2">
      <c r="A28" s="7">
        <v>3</v>
      </c>
      <c r="B28" s="7" t="s">
        <v>35</v>
      </c>
      <c r="C28" s="7">
        <v>436.7</v>
      </c>
      <c r="D28" s="7">
        <v>1.67</v>
      </c>
      <c r="E28" s="7">
        <v>3241.07</v>
      </c>
      <c r="F28" s="7">
        <f t="shared" si="0"/>
        <v>18.139999999999873</v>
      </c>
      <c r="G28" s="9">
        <v>3259.21</v>
      </c>
      <c r="H28" s="7">
        <v>5102.93</v>
      </c>
      <c r="I28" s="7">
        <v>7592.04</v>
      </c>
    </row>
    <row r="29" spans="1:10" x14ac:dyDescent="0.2">
      <c r="A29" s="7">
        <v>3</v>
      </c>
      <c r="B29" s="7" t="s">
        <v>36</v>
      </c>
      <c r="C29" s="7">
        <v>15057.63</v>
      </c>
      <c r="D29" s="7">
        <v>0.28999999999999998</v>
      </c>
      <c r="E29" s="7">
        <v>33212.089999999997</v>
      </c>
      <c r="F29" s="7">
        <f t="shared" si="0"/>
        <v>10</v>
      </c>
      <c r="G29" s="7">
        <v>33222.089999999997</v>
      </c>
      <c r="H29" s="7">
        <v>35653.57</v>
      </c>
      <c r="I29" s="7">
        <v>51336.63</v>
      </c>
    </row>
    <row r="30" spans="1:10" x14ac:dyDescent="0.2">
      <c r="C30" s="7"/>
      <c r="D30" s="7"/>
      <c r="E30" s="7"/>
      <c r="F30" s="7"/>
      <c r="G30" s="7"/>
      <c r="H30" s="7"/>
    </row>
    <row r="31" spans="1:10" x14ac:dyDescent="0.2">
      <c r="A31" s="7"/>
      <c r="B31" s="7"/>
      <c r="C31" s="7"/>
      <c r="D31" s="7"/>
      <c r="E31" s="7"/>
      <c r="F31" s="7"/>
      <c r="G31" s="7"/>
    </row>
  </sheetData>
  <mergeCells count="3">
    <mergeCell ref="J2:L3"/>
    <mergeCell ref="J5:L7"/>
    <mergeCell ref="J9:L1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DCD5E-4DB0-1540-8EB4-F31412DC7ED6}">
  <dimension ref="A1:M327"/>
  <sheetViews>
    <sheetView workbookViewId="0">
      <selection activeCell="D36" sqref="D36"/>
    </sheetView>
  </sheetViews>
  <sheetFormatPr baseColWidth="10" defaultRowHeight="16" x14ac:dyDescent="0.2"/>
  <cols>
    <col min="1" max="1" width="40.5" style="1" customWidth="1"/>
    <col min="2" max="2" width="15.5" style="1" customWidth="1"/>
    <col min="3" max="3" width="20.6640625" style="1" customWidth="1"/>
    <col min="4" max="4" width="24.1640625" style="1" customWidth="1"/>
    <col min="5" max="5" width="22.33203125" style="1" customWidth="1"/>
    <col min="6" max="6" width="28.83203125" style="1" customWidth="1"/>
    <col min="7" max="7" width="21.5" style="1" customWidth="1"/>
    <col min="8" max="8" width="14.33203125" style="1" customWidth="1"/>
    <col min="9" max="9" width="14.1640625" style="1" customWidth="1"/>
    <col min="10" max="10" width="17.83203125" style="1" customWidth="1"/>
    <col min="11" max="11" width="16" style="1" customWidth="1"/>
    <col min="12" max="16384" width="10.83203125" style="1"/>
  </cols>
  <sheetData>
    <row r="1" spans="1:13" s="14" customFormat="1" x14ac:dyDescent="0.2">
      <c r="A1" s="13" t="s">
        <v>47</v>
      </c>
      <c r="B1" s="14" t="s">
        <v>48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53</v>
      </c>
      <c r="H1" s="14" t="s">
        <v>54</v>
      </c>
      <c r="I1" s="14" t="s">
        <v>55</v>
      </c>
      <c r="J1" s="14" t="s">
        <v>56</v>
      </c>
      <c r="K1" s="14" t="s">
        <v>57</v>
      </c>
      <c r="L1" s="14" t="s">
        <v>58</v>
      </c>
      <c r="M1" s="14" t="s">
        <v>59</v>
      </c>
    </row>
    <row r="2" spans="1:13" x14ac:dyDescent="0.2">
      <c r="A2" s="15" t="s">
        <v>96</v>
      </c>
      <c r="B2" s="1" t="s">
        <v>61</v>
      </c>
      <c r="C2" s="1">
        <v>121</v>
      </c>
      <c r="D2" s="1">
        <v>0.25090000000000001</v>
      </c>
      <c r="E2" s="1">
        <v>0.27729999999999999</v>
      </c>
      <c r="F2" s="1">
        <v>0.2243</v>
      </c>
      <c r="G2" s="1">
        <v>0.35620000000000002</v>
      </c>
      <c r="H2" s="1">
        <v>5</v>
      </c>
      <c r="I2" s="1">
        <v>2</v>
      </c>
      <c r="J2" s="1">
        <v>1</v>
      </c>
      <c r="K2" s="1">
        <v>1</v>
      </c>
      <c r="L2" s="1">
        <v>1</v>
      </c>
      <c r="M2" s="1">
        <v>1</v>
      </c>
    </row>
    <row r="3" spans="1:13" x14ac:dyDescent="0.2">
      <c r="A3" s="15" t="s">
        <v>97</v>
      </c>
      <c r="B3" s="1" t="s">
        <v>61</v>
      </c>
      <c r="C3" s="1">
        <v>34</v>
      </c>
      <c r="D3" s="1">
        <v>0.35799999999999998</v>
      </c>
      <c r="E3" s="1">
        <v>0.46679999999999999</v>
      </c>
      <c r="F3" s="1">
        <v>0.24579999999999999</v>
      </c>
      <c r="G3" s="1">
        <v>0.55349999999999999</v>
      </c>
      <c r="H3" s="1">
        <v>7</v>
      </c>
      <c r="I3" s="1">
        <v>4</v>
      </c>
      <c r="J3" s="1">
        <v>1</v>
      </c>
      <c r="K3" s="1">
        <v>1</v>
      </c>
      <c r="L3" s="1">
        <v>1</v>
      </c>
      <c r="M3" s="1">
        <v>1</v>
      </c>
    </row>
    <row r="4" spans="1:13" x14ac:dyDescent="0.2">
      <c r="A4" s="15" t="s">
        <v>98</v>
      </c>
      <c r="B4" s="1" t="s">
        <v>61</v>
      </c>
      <c r="C4" s="1">
        <v>23</v>
      </c>
      <c r="D4" s="1">
        <v>0.77370000000000005</v>
      </c>
      <c r="E4" s="1">
        <v>1.1019000000000001</v>
      </c>
      <c r="F4" s="1">
        <v>0.26129999999999998</v>
      </c>
      <c r="G4" s="1">
        <v>1.1565000000000001</v>
      </c>
      <c r="H4" s="1">
        <v>9</v>
      </c>
      <c r="I4" s="1">
        <v>6</v>
      </c>
      <c r="J4" s="1">
        <v>2</v>
      </c>
      <c r="K4" s="1">
        <v>1</v>
      </c>
      <c r="L4" s="1">
        <v>1</v>
      </c>
      <c r="M4" s="1">
        <v>1</v>
      </c>
    </row>
    <row r="5" spans="1:13" x14ac:dyDescent="0.2">
      <c r="A5" s="15" t="s">
        <v>99</v>
      </c>
      <c r="B5" s="1" t="s">
        <v>61</v>
      </c>
      <c r="C5" s="1">
        <v>1</v>
      </c>
      <c r="D5" s="1">
        <v>1.5304</v>
      </c>
      <c r="E5" s="1">
        <v>1.5304</v>
      </c>
      <c r="F5" s="1">
        <v>1.5304</v>
      </c>
      <c r="G5" s="1">
        <v>1.5304</v>
      </c>
      <c r="H5" s="1">
        <v>10</v>
      </c>
      <c r="I5" s="1">
        <v>6</v>
      </c>
      <c r="J5" s="1">
        <v>2</v>
      </c>
      <c r="K5" s="1">
        <v>1</v>
      </c>
      <c r="L5" s="1">
        <v>1</v>
      </c>
      <c r="M5" s="1">
        <v>1</v>
      </c>
    </row>
    <row r="6" spans="1:13" x14ac:dyDescent="0.2">
      <c r="A6" s="15" t="s">
        <v>100</v>
      </c>
      <c r="B6" s="1" t="s">
        <v>61</v>
      </c>
      <c r="C6" s="1">
        <v>7</v>
      </c>
      <c r="D6" s="1">
        <v>1.5441</v>
      </c>
      <c r="E6" s="1">
        <v>1.9659</v>
      </c>
      <c r="F6" s="1">
        <v>1.0953999999999999</v>
      </c>
      <c r="G6" s="1">
        <v>1.9790000000000001</v>
      </c>
      <c r="H6" s="1">
        <v>12</v>
      </c>
      <c r="I6" s="1">
        <v>6</v>
      </c>
      <c r="J6" s="1">
        <v>4</v>
      </c>
      <c r="K6" s="1">
        <v>1</v>
      </c>
      <c r="L6" s="1">
        <v>1</v>
      </c>
      <c r="M6" s="1">
        <v>1</v>
      </c>
    </row>
    <row r="7" spans="1:13" x14ac:dyDescent="0.2">
      <c r="A7" s="15" t="s">
        <v>101</v>
      </c>
      <c r="B7" s="1" t="s">
        <v>65</v>
      </c>
      <c r="C7" s="1">
        <v>5</v>
      </c>
      <c r="D7" s="1">
        <v>1.7508999999999999</v>
      </c>
      <c r="E7" s="1">
        <v>1.9121999999999999</v>
      </c>
      <c r="F7" s="1">
        <v>1.4903</v>
      </c>
      <c r="G7" s="1">
        <v>2.2827999999999999</v>
      </c>
      <c r="H7" s="1">
        <v>12</v>
      </c>
      <c r="I7" s="1">
        <v>7</v>
      </c>
      <c r="J7" s="1">
        <v>4</v>
      </c>
      <c r="K7" s="1">
        <v>2</v>
      </c>
      <c r="L7" s="1">
        <v>1</v>
      </c>
      <c r="M7" s="1">
        <v>1</v>
      </c>
    </row>
    <row r="8" spans="1:13" x14ac:dyDescent="0.2">
      <c r="A8" s="15" t="s">
        <v>102</v>
      </c>
      <c r="B8" s="1" t="s">
        <v>65</v>
      </c>
      <c r="C8" s="1">
        <v>1</v>
      </c>
      <c r="D8" s="1">
        <v>4.6280000000000001</v>
      </c>
      <c r="E8" s="1">
        <v>4.6280000000000001</v>
      </c>
      <c r="F8" s="1">
        <v>4.6280000000000001</v>
      </c>
      <c r="G8" s="1">
        <v>4.6280000000000001</v>
      </c>
      <c r="H8" s="1">
        <v>14</v>
      </c>
      <c r="I8" s="1">
        <v>7</v>
      </c>
      <c r="J8" s="1">
        <v>7</v>
      </c>
      <c r="K8" s="1">
        <v>2</v>
      </c>
      <c r="L8" s="1">
        <v>1</v>
      </c>
      <c r="M8" s="1">
        <v>1</v>
      </c>
    </row>
    <row r="9" spans="1:13" x14ac:dyDescent="0.2">
      <c r="A9" s="15" t="s">
        <v>103</v>
      </c>
      <c r="B9" s="1" t="s">
        <v>61</v>
      </c>
      <c r="C9" s="1">
        <v>1</v>
      </c>
      <c r="D9" s="1">
        <v>2.6907000000000001</v>
      </c>
      <c r="E9" s="1">
        <v>2.6907000000000001</v>
      </c>
      <c r="F9" s="1">
        <v>2.6907000000000001</v>
      </c>
      <c r="G9" s="1">
        <v>2.6907000000000001</v>
      </c>
      <c r="H9" s="1">
        <v>17</v>
      </c>
      <c r="I9" s="1">
        <v>7</v>
      </c>
      <c r="J9" s="1">
        <v>7</v>
      </c>
      <c r="K9" s="1">
        <v>2</v>
      </c>
      <c r="L9" s="1">
        <v>1</v>
      </c>
      <c r="M9" s="1">
        <v>1</v>
      </c>
    </row>
    <row r="10" spans="1:13" x14ac:dyDescent="0.2">
      <c r="A10" s="15" t="s">
        <v>104</v>
      </c>
      <c r="B10" s="1" t="s">
        <v>61</v>
      </c>
      <c r="C10" s="1">
        <v>6</v>
      </c>
      <c r="D10" s="1">
        <v>3.3098999999999998</v>
      </c>
      <c r="E10" s="1">
        <v>3.7852000000000001</v>
      </c>
      <c r="F10" s="1">
        <v>2.4786999999999999</v>
      </c>
      <c r="G10" s="1">
        <v>4.0389999999999997</v>
      </c>
      <c r="H10" s="1">
        <v>20</v>
      </c>
      <c r="I10" s="1">
        <v>10</v>
      </c>
      <c r="J10" s="1">
        <v>7</v>
      </c>
      <c r="K10" s="1">
        <v>4</v>
      </c>
      <c r="L10" s="1">
        <v>1</v>
      </c>
      <c r="M10" s="1">
        <v>1</v>
      </c>
    </row>
    <row r="11" spans="1:13" x14ac:dyDescent="0.2">
      <c r="A11" s="15" t="s">
        <v>105</v>
      </c>
      <c r="B11" s="1" t="s">
        <v>61</v>
      </c>
      <c r="C11" s="1">
        <v>1</v>
      </c>
      <c r="D11" s="1">
        <v>3.4851000000000001</v>
      </c>
      <c r="E11" s="1">
        <v>3.4851000000000001</v>
      </c>
      <c r="F11" s="1">
        <v>3.4851000000000001</v>
      </c>
      <c r="G11" s="1">
        <v>3.4851000000000001</v>
      </c>
      <c r="H11" s="1">
        <v>22</v>
      </c>
      <c r="I11" s="1">
        <v>10</v>
      </c>
      <c r="J11" s="1">
        <v>8</v>
      </c>
      <c r="K11" s="1">
        <v>4</v>
      </c>
      <c r="L11" s="1">
        <v>1</v>
      </c>
      <c r="M11" s="1">
        <v>1</v>
      </c>
    </row>
    <row r="12" spans="1:13" x14ac:dyDescent="0.2">
      <c r="A12" s="15" t="s">
        <v>106</v>
      </c>
      <c r="B12" s="1" t="s">
        <v>61</v>
      </c>
      <c r="C12" s="1">
        <v>1</v>
      </c>
      <c r="D12" s="1">
        <v>2.9043000000000001</v>
      </c>
      <c r="E12" s="1">
        <v>2.9043000000000001</v>
      </c>
      <c r="F12" s="1">
        <v>2.9043000000000001</v>
      </c>
      <c r="G12" s="1">
        <v>2.9043000000000001</v>
      </c>
      <c r="H12" s="1">
        <v>23</v>
      </c>
      <c r="I12" s="1">
        <v>10</v>
      </c>
      <c r="J12" s="1">
        <v>8</v>
      </c>
      <c r="K12" s="1">
        <v>4</v>
      </c>
      <c r="L12" s="1">
        <v>1</v>
      </c>
      <c r="M12" s="1">
        <v>1</v>
      </c>
    </row>
    <row r="13" spans="1:13" x14ac:dyDescent="0.2">
      <c r="A13" s="15" t="s">
        <v>107</v>
      </c>
      <c r="B13" s="1" t="s">
        <v>67</v>
      </c>
      <c r="C13" s="1">
        <v>3</v>
      </c>
      <c r="D13" s="1">
        <v>2.5467</v>
      </c>
      <c r="E13" s="1">
        <v>2.4695999999999998</v>
      </c>
      <c r="F13" s="1">
        <v>2.3519000000000001</v>
      </c>
      <c r="G13" s="1">
        <v>2.8184999999999998</v>
      </c>
      <c r="H13" s="1">
        <v>23</v>
      </c>
      <c r="I13" s="1">
        <v>10</v>
      </c>
      <c r="J13" s="1">
        <v>8</v>
      </c>
      <c r="K13" s="1">
        <v>4</v>
      </c>
      <c r="L13" s="1">
        <v>1</v>
      </c>
      <c r="M13" s="1">
        <v>1</v>
      </c>
    </row>
    <row r="14" spans="1:13" x14ac:dyDescent="0.2">
      <c r="A14" s="15" t="s">
        <v>108</v>
      </c>
      <c r="B14" s="1" t="s">
        <v>65</v>
      </c>
      <c r="C14" s="1">
        <v>5</v>
      </c>
      <c r="D14" s="1">
        <v>3.2904</v>
      </c>
      <c r="E14" s="1">
        <v>3.3732000000000002</v>
      </c>
      <c r="F14" s="1">
        <v>2.3759999999999999</v>
      </c>
      <c r="G14" s="1">
        <v>5.5583</v>
      </c>
      <c r="H14" s="1">
        <v>23</v>
      </c>
      <c r="I14" s="1">
        <v>10</v>
      </c>
      <c r="J14" s="1">
        <v>8</v>
      </c>
      <c r="K14" s="1">
        <v>4</v>
      </c>
      <c r="L14" s="1">
        <v>1</v>
      </c>
      <c r="M14" s="1">
        <v>2</v>
      </c>
    </row>
    <row r="15" spans="1:13" x14ac:dyDescent="0.2">
      <c r="A15" s="15" t="s">
        <v>109</v>
      </c>
      <c r="B15" s="1" t="s">
        <v>61</v>
      </c>
      <c r="C15" s="1">
        <v>5</v>
      </c>
      <c r="D15" s="1">
        <v>5.4564000000000004</v>
      </c>
      <c r="E15" s="1">
        <v>6.5366999999999997</v>
      </c>
      <c r="F15" s="1">
        <v>3.7528000000000001</v>
      </c>
      <c r="G15" s="1">
        <v>7.6212999999999997</v>
      </c>
      <c r="H15" s="1">
        <v>23</v>
      </c>
      <c r="I15" s="1">
        <v>10</v>
      </c>
      <c r="J15" s="1">
        <v>9</v>
      </c>
      <c r="K15" s="1">
        <v>4</v>
      </c>
      <c r="L15" s="1">
        <v>1</v>
      </c>
      <c r="M15" s="1">
        <v>2</v>
      </c>
    </row>
    <row r="16" spans="1:13" x14ac:dyDescent="0.2">
      <c r="A16" s="15" t="s">
        <v>110</v>
      </c>
      <c r="B16" s="1" t="s">
        <v>65</v>
      </c>
      <c r="C16" s="1">
        <v>6</v>
      </c>
      <c r="D16" s="1">
        <v>4.7747000000000002</v>
      </c>
      <c r="E16" s="1">
        <v>5.7915999999999999</v>
      </c>
      <c r="F16" s="1">
        <v>3.4195000000000002</v>
      </c>
      <c r="G16" s="1">
        <v>7.4097999999999997</v>
      </c>
      <c r="H16" s="1">
        <v>25</v>
      </c>
      <c r="I16" s="1">
        <v>10</v>
      </c>
      <c r="J16" s="1">
        <v>10</v>
      </c>
      <c r="K16" s="1">
        <v>4</v>
      </c>
      <c r="L16" s="1">
        <v>1</v>
      </c>
      <c r="M16" s="1">
        <v>2</v>
      </c>
    </row>
    <row r="17" spans="1:13" x14ac:dyDescent="0.2">
      <c r="A17" s="15" t="s">
        <v>111</v>
      </c>
      <c r="B17" s="1" t="s">
        <v>65</v>
      </c>
      <c r="C17" s="1">
        <v>10</v>
      </c>
      <c r="D17" s="1">
        <v>7.6420000000000003</v>
      </c>
      <c r="E17" s="1">
        <v>9.4033999999999995</v>
      </c>
      <c r="F17" s="1">
        <v>5.5397999999999996</v>
      </c>
      <c r="G17" s="1">
        <v>9.7225000000000001</v>
      </c>
      <c r="H17" s="1">
        <v>25</v>
      </c>
      <c r="I17" s="1">
        <v>10</v>
      </c>
      <c r="J17" s="1">
        <v>10</v>
      </c>
      <c r="K17" s="1">
        <v>6</v>
      </c>
      <c r="L17" s="1">
        <v>1</v>
      </c>
      <c r="M17" s="1">
        <v>2</v>
      </c>
    </row>
    <row r="18" spans="1:13" x14ac:dyDescent="0.2">
      <c r="A18" s="15" t="s">
        <v>112</v>
      </c>
      <c r="B18" s="1" t="s">
        <v>61</v>
      </c>
      <c r="C18" s="1">
        <v>3</v>
      </c>
      <c r="D18" s="1">
        <v>9.5378000000000007</v>
      </c>
      <c r="E18" s="1">
        <v>9.8035999999999994</v>
      </c>
      <c r="F18" s="1">
        <v>8.0767000000000007</v>
      </c>
      <c r="G18" s="1">
        <v>10.7332</v>
      </c>
      <c r="H18" s="1">
        <v>27</v>
      </c>
      <c r="I18" s="1">
        <v>10</v>
      </c>
      <c r="J18" s="1">
        <v>10</v>
      </c>
      <c r="K18" s="1">
        <v>9</v>
      </c>
      <c r="L18" s="1">
        <v>1</v>
      </c>
      <c r="M18" s="1">
        <v>2</v>
      </c>
    </row>
    <row r="19" spans="1:13" x14ac:dyDescent="0.2">
      <c r="A19" s="15" t="s">
        <v>113</v>
      </c>
      <c r="B19" s="1" t="s">
        <v>61</v>
      </c>
      <c r="C19" s="1">
        <v>2</v>
      </c>
      <c r="D19" s="1">
        <v>11.492000000000001</v>
      </c>
      <c r="E19" s="1">
        <v>10.899100000000001</v>
      </c>
      <c r="F19" s="1">
        <v>10.899100000000001</v>
      </c>
      <c r="G19" s="1">
        <v>12.084899999999999</v>
      </c>
      <c r="H19" s="1">
        <v>30</v>
      </c>
      <c r="I19" s="1">
        <v>10</v>
      </c>
      <c r="J19" s="1">
        <v>10</v>
      </c>
      <c r="K19" s="1">
        <v>10</v>
      </c>
      <c r="L19" s="1">
        <v>1</v>
      </c>
      <c r="M19" s="1">
        <v>2</v>
      </c>
    </row>
    <row r="20" spans="1:13" x14ac:dyDescent="0.2">
      <c r="A20" s="15" t="s">
        <v>114</v>
      </c>
      <c r="B20" s="1" t="s">
        <v>61</v>
      </c>
      <c r="C20" s="1">
        <v>1</v>
      </c>
      <c r="D20" s="1">
        <v>13.299300000000001</v>
      </c>
      <c r="E20" s="1">
        <v>13.299300000000001</v>
      </c>
      <c r="F20" s="1">
        <v>13.299300000000001</v>
      </c>
      <c r="G20" s="1">
        <v>13.299300000000001</v>
      </c>
      <c r="H20" s="1">
        <v>31</v>
      </c>
      <c r="I20" s="1">
        <v>10</v>
      </c>
      <c r="J20" s="1">
        <v>10</v>
      </c>
      <c r="K20" s="1">
        <v>10</v>
      </c>
      <c r="L20" s="1">
        <v>1</v>
      </c>
      <c r="M20" s="1">
        <v>2</v>
      </c>
    </row>
    <row r="21" spans="1:13" x14ac:dyDescent="0.2">
      <c r="A21" s="15" t="s">
        <v>115</v>
      </c>
      <c r="B21" s="1" t="s">
        <v>65</v>
      </c>
      <c r="C21" s="1">
        <v>243</v>
      </c>
      <c r="D21" s="1">
        <v>1.2028000000000001</v>
      </c>
      <c r="E21" s="1">
        <v>10.5627</v>
      </c>
      <c r="F21" s="1">
        <v>1E-4</v>
      </c>
      <c r="G21" s="1">
        <v>16.830300000000001</v>
      </c>
      <c r="H21" s="1">
        <v>41</v>
      </c>
      <c r="I21" s="1">
        <v>20</v>
      </c>
      <c r="J21" s="1">
        <v>11</v>
      </c>
      <c r="K21" s="1">
        <v>20</v>
      </c>
      <c r="L21" s="1">
        <v>1</v>
      </c>
      <c r="M21" s="1">
        <v>3</v>
      </c>
    </row>
    <row r="22" spans="1:13" x14ac:dyDescent="0.2">
      <c r="A22" s="15" t="s">
        <v>116</v>
      </c>
      <c r="B22" s="1" t="s">
        <v>67</v>
      </c>
      <c r="C22" s="1">
        <v>1</v>
      </c>
      <c r="D22" s="1">
        <v>20.2105</v>
      </c>
      <c r="E22" s="1">
        <v>20.2105</v>
      </c>
      <c r="F22" s="1">
        <v>20.2105</v>
      </c>
      <c r="G22" s="1">
        <v>20.2105</v>
      </c>
      <c r="H22" s="1">
        <v>61</v>
      </c>
      <c r="I22" s="1">
        <v>20</v>
      </c>
      <c r="J22" s="1">
        <v>20</v>
      </c>
      <c r="K22" s="1">
        <v>20</v>
      </c>
      <c r="L22" s="1">
        <v>1</v>
      </c>
      <c r="M22" s="1">
        <v>3</v>
      </c>
    </row>
    <row r="23" spans="1:13" x14ac:dyDescent="0.2">
      <c r="A23" s="15" t="s">
        <v>117</v>
      </c>
      <c r="B23" s="1" t="s">
        <v>61</v>
      </c>
      <c r="C23" s="1">
        <v>35</v>
      </c>
      <c r="D23" s="1">
        <v>1.2208000000000001</v>
      </c>
      <c r="E23" s="1">
        <v>9.5814000000000004</v>
      </c>
      <c r="F23" s="1">
        <v>1E-4</v>
      </c>
      <c r="G23" s="1">
        <v>12.834300000000001</v>
      </c>
      <c r="H23" s="1">
        <v>61</v>
      </c>
      <c r="I23" s="1">
        <v>20</v>
      </c>
      <c r="J23" s="1">
        <v>20</v>
      </c>
      <c r="K23" s="1">
        <v>20</v>
      </c>
      <c r="L23" s="1">
        <v>1</v>
      </c>
      <c r="M23" s="1">
        <v>4</v>
      </c>
    </row>
    <row r="24" spans="1:13" x14ac:dyDescent="0.2">
      <c r="A24" s="15" t="s">
        <v>117</v>
      </c>
      <c r="B24" s="1" t="s">
        <v>65</v>
      </c>
      <c r="C24" s="1">
        <v>1</v>
      </c>
      <c r="D24" s="1">
        <v>2.0000000000000001E-4</v>
      </c>
      <c r="E24" s="1">
        <v>2.0000000000000001E-4</v>
      </c>
      <c r="F24" s="1">
        <v>2.0000000000000001E-4</v>
      </c>
      <c r="G24" s="1">
        <v>2.0000000000000001E-4</v>
      </c>
      <c r="H24" s="1">
        <v>61</v>
      </c>
      <c r="I24" s="1">
        <v>20</v>
      </c>
      <c r="J24" s="1">
        <v>20</v>
      </c>
      <c r="K24" s="1">
        <v>20</v>
      </c>
      <c r="L24" s="1">
        <v>1</v>
      </c>
      <c r="M24" s="1">
        <v>4</v>
      </c>
    </row>
    <row r="25" spans="1:13" x14ac:dyDescent="0.2">
      <c r="A25" s="15" t="s">
        <v>118</v>
      </c>
      <c r="B25" s="1" t="s">
        <v>67</v>
      </c>
      <c r="C25" s="1">
        <v>3</v>
      </c>
      <c r="D25" s="1">
        <v>2.0000000000000001E-4</v>
      </c>
      <c r="E25" s="1">
        <v>2.0000000000000001E-4</v>
      </c>
      <c r="F25" s="1">
        <v>2.0000000000000001E-4</v>
      </c>
      <c r="G25" s="1">
        <v>2.0000000000000001E-4</v>
      </c>
      <c r="H25" s="1">
        <v>61</v>
      </c>
      <c r="I25" s="1">
        <v>20</v>
      </c>
      <c r="J25" s="1">
        <v>20</v>
      </c>
      <c r="K25" s="1">
        <v>20</v>
      </c>
      <c r="L25" s="1">
        <v>1</v>
      </c>
      <c r="M25" s="1">
        <v>4</v>
      </c>
    </row>
    <row r="26" spans="1:13" x14ac:dyDescent="0.2">
      <c r="A26" s="15" t="s">
        <v>119</v>
      </c>
      <c r="B26" s="1" t="s">
        <v>65</v>
      </c>
      <c r="C26" s="1">
        <v>27</v>
      </c>
      <c r="D26" s="1">
        <v>2.0000000000000001E-4</v>
      </c>
      <c r="E26" s="1">
        <v>2.0000000000000001E-4</v>
      </c>
      <c r="F26" s="1">
        <v>1E-4</v>
      </c>
      <c r="G26" s="1">
        <v>2.9999999999999997E-4</v>
      </c>
      <c r="H26" s="1">
        <v>61</v>
      </c>
      <c r="I26" s="1">
        <v>20</v>
      </c>
      <c r="J26" s="1">
        <v>20</v>
      </c>
      <c r="K26" s="1">
        <v>20</v>
      </c>
      <c r="L26" s="1">
        <v>2</v>
      </c>
      <c r="M26" s="1">
        <v>4</v>
      </c>
    </row>
    <row r="27" spans="1:13" x14ac:dyDescent="0.2">
      <c r="A27" s="15" t="s">
        <v>120</v>
      </c>
      <c r="B27" s="1" t="s">
        <v>61</v>
      </c>
      <c r="C27" s="1">
        <v>3</v>
      </c>
      <c r="D27" s="1">
        <v>2.0000000000000001E-4</v>
      </c>
      <c r="E27" s="1">
        <v>2.0000000000000001E-4</v>
      </c>
      <c r="F27" s="1">
        <v>2.0000000000000001E-4</v>
      </c>
      <c r="G27" s="1">
        <v>2.0000000000000001E-4</v>
      </c>
      <c r="H27" s="1">
        <v>62</v>
      </c>
      <c r="I27" s="1">
        <v>20</v>
      </c>
      <c r="J27" s="1">
        <v>20</v>
      </c>
      <c r="K27" s="1">
        <v>20</v>
      </c>
      <c r="L27" s="1">
        <v>2</v>
      </c>
      <c r="M27" s="1">
        <v>4</v>
      </c>
    </row>
    <row r="28" spans="1:13" x14ac:dyDescent="0.2">
      <c r="A28" s="15" t="s">
        <v>121</v>
      </c>
      <c r="B28" s="1" t="s">
        <v>65</v>
      </c>
      <c r="C28" s="1">
        <v>1</v>
      </c>
      <c r="D28" s="1">
        <v>0.26069999999999999</v>
      </c>
      <c r="E28" s="1">
        <v>0.26069999999999999</v>
      </c>
      <c r="F28" s="1">
        <v>0.26069999999999999</v>
      </c>
      <c r="G28" s="1">
        <v>0.26069999999999999</v>
      </c>
      <c r="H28" s="1">
        <v>62</v>
      </c>
      <c r="I28" s="1">
        <v>20</v>
      </c>
      <c r="J28" s="1">
        <v>20</v>
      </c>
      <c r="K28" s="1">
        <v>20</v>
      </c>
      <c r="L28" s="1">
        <v>2</v>
      </c>
      <c r="M28" s="1">
        <v>4</v>
      </c>
    </row>
    <row r="29" spans="1:13" x14ac:dyDescent="0.2">
      <c r="A29" s="15" t="s">
        <v>122</v>
      </c>
      <c r="B29" s="1" t="s">
        <v>61</v>
      </c>
      <c r="C29" s="1">
        <v>11</v>
      </c>
      <c r="D29" s="1">
        <v>0.59370000000000001</v>
      </c>
      <c r="E29" s="1">
        <v>1.2135</v>
      </c>
      <c r="F29" s="1">
        <v>0.2132</v>
      </c>
      <c r="G29" s="1">
        <v>1.2346999999999999</v>
      </c>
      <c r="H29" s="1">
        <v>62</v>
      </c>
      <c r="I29" s="1">
        <v>20</v>
      </c>
      <c r="J29" s="1">
        <v>20</v>
      </c>
      <c r="K29" s="1">
        <v>20</v>
      </c>
      <c r="L29" s="1">
        <v>4</v>
      </c>
      <c r="M29" s="1">
        <v>4</v>
      </c>
    </row>
    <row r="30" spans="1:13" x14ac:dyDescent="0.2">
      <c r="A30" s="15" t="s">
        <v>123</v>
      </c>
      <c r="B30" s="1" t="s">
        <v>67</v>
      </c>
      <c r="C30" s="1">
        <v>1</v>
      </c>
      <c r="D30" s="1">
        <v>1.3707</v>
      </c>
      <c r="E30" s="1">
        <v>1.3707</v>
      </c>
      <c r="F30" s="1">
        <v>1.3707</v>
      </c>
      <c r="G30" s="1">
        <v>1.3707</v>
      </c>
      <c r="H30" s="1">
        <v>64</v>
      </c>
      <c r="I30" s="1">
        <v>20</v>
      </c>
      <c r="J30" s="1">
        <v>20</v>
      </c>
      <c r="K30" s="1">
        <v>20</v>
      </c>
      <c r="L30" s="1">
        <v>4</v>
      </c>
      <c r="M30" s="1">
        <v>4</v>
      </c>
    </row>
    <row r="31" spans="1:13" x14ac:dyDescent="0.2">
      <c r="A31" s="15" t="s">
        <v>124</v>
      </c>
      <c r="B31" s="1" t="s">
        <v>65</v>
      </c>
      <c r="C31" s="1">
        <v>1</v>
      </c>
      <c r="D31" s="1">
        <v>0.97570000000000001</v>
      </c>
      <c r="E31" s="1">
        <v>0.97570000000000001</v>
      </c>
      <c r="F31" s="1">
        <v>0.97570000000000001</v>
      </c>
      <c r="G31" s="1">
        <v>0.97570000000000001</v>
      </c>
      <c r="H31" s="1">
        <v>64</v>
      </c>
      <c r="I31" s="1">
        <v>20</v>
      </c>
      <c r="J31" s="1">
        <v>20</v>
      </c>
      <c r="K31" s="1">
        <v>20</v>
      </c>
      <c r="L31" s="1">
        <v>4</v>
      </c>
      <c r="M31" s="1">
        <v>4</v>
      </c>
    </row>
    <row r="32" spans="1:13" x14ac:dyDescent="0.2">
      <c r="A32" s="15" t="s">
        <v>125</v>
      </c>
      <c r="B32" s="1" t="s">
        <v>61</v>
      </c>
      <c r="C32" s="1">
        <v>17</v>
      </c>
      <c r="D32" s="1">
        <v>1.0142</v>
      </c>
      <c r="E32" s="1">
        <v>2.5893999999999999</v>
      </c>
      <c r="F32" s="1">
        <v>0.246</v>
      </c>
      <c r="G32" s="1">
        <v>4.0021000000000004</v>
      </c>
      <c r="H32" s="1">
        <v>64</v>
      </c>
      <c r="I32" s="1">
        <v>20</v>
      </c>
      <c r="J32" s="1">
        <v>20</v>
      </c>
      <c r="K32" s="1">
        <v>20</v>
      </c>
      <c r="L32" s="1">
        <v>8</v>
      </c>
      <c r="M32" s="1">
        <v>4</v>
      </c>
    </row>
    <row r="33" spans="1:13" x14ac:dyDescent="0.2">
      <c r="A33" s="15" t="s">
        <v>126</v>
      </c>
      <c r="B33" s="1" t="s">
        <v>67</v>
      </c>
      <c r="C33" s="1">
        <v>1</v>
      </c>
      <c r="D33" s="1">
        <v>1.7424999999999999</v>
      </c>
      <c r="E33" s="1">
        <v>1.7424999999999999</v>
      </c>
      <c r="F33" s="1">
        <v>1.7424999999999999</v>
      </c>
      <c r="G33" s="1">
        <v>1.7424999999999999</v>
      </c>
      <c r="H33" s="1">
        <v>68</v>
      </c>
      <c r="I33" s="1">
        <v>20</v>
      </c>
      <c r="J33" s="1">
        <v>20</v>
      </c>
      <c r="K33" s="1">
        <v>20</v>
      </c>
      <c r="L33" s="1">
        <v>8</v>
      </c>
      <c r="M33" s="1">
        <v>4</v>
      </c>
    </row>
    <row r="34" spans="1:13" x14ac:dyDescent="0.2">
      <c r="A34" s="15" t="s">
        <v>127</v>
      </c>
      <c r="B34" s="1" t="s">
        <v>61</v>
      </c>
      <c r="C34" s="1">
        <v>1</v>
      </c>
      <c r="D34" s="1">
        <v>4.1367000000000003</v>
      </c>
      <c r="E34" s="1">
        <v>4.1367000000000003</v>
      </c>
      <c r="F34" s="1">
        <v>4.1367000000000003</v>
      </c>
      <c r="G34" s="1">
        <v>4.1367000000000003</v>
      </c>
      <c r="H34" s="1">
        <v>68</v>
      </c>
      <c r="I34" s="1">
        <v>20</v>
      </c>
      <c r="J34" s="1">
        <v>20</v>
      </c>
      <c r="K34" s="1">
        <v>20</v>
      </c>
      <c r="L34" s="1">
        <v>16</v>
      </c>
      <c r="M34" s="1">
        <v>4</v>
      </c>
    </row>
    <row r="35" spans="1:13" x14ac:dyDescent="0.2">
      <c r="A35" s="15" t="s">
        <v>128</v>
      </c>
      <c r="B35" s="1" t="s">
        <v>67</v>
      </c>
      <c r="C35" s="1">
        <v>1</v>
      </c>
      <c r="D35" s="1">
        <v>34.579900000000002</v>
      </c>
      <c r="E35" s="1">
        <v>34.579900000000002</v>
      </c>
      <c r="F35" s="1">
        <v>34.579900000000002</v>
      </c>
      <c r="G35" s="1">
        <v>34.579900000000002</v>
      </c>
      <c r="H35" s="1">
        <v>86</v>
      </c>
      <c r="I35" s="1">
        <v>20</v>
      </c>
      <c r="J35" s="1">
        <v>20</v>
      </c>
      <c r="K35" s="1">
        <v>20</v>
      </c>
      <c r="L35" s="1">
        <v>26</v>
      </c>
      <c r="M35" s="1">
        <v>4</v>
      </c>
    </row>
    <row r="36" spans="1:13" x14ac:dyDescent="0.2">
      <c r="A36" s="15" t="s">
        <v>129</v>
      </c>
      <c r="B36" s="1" t="s">
        <v>61</v>
      </c>
      <c r="C36" s="1">
        <v>9</v>
      </c>
      <c r="D36" s="1">
        <v>7.9435000000000002</v>
      </c>
      <c r="E36" s="1">
        <v>2.0000000000000001E-4</v>
      </c>
      <c r="F36" s="1">
        <v>1E-4</v>
      </c>
      <c r="G36" s="1">
        <v>71.489999999999995</v>
      </c>
      <c r="H36" s="1">
        <v>80</v>
      </c>
      <c r="I36" s="1">
        <v>30</v>
      </c>
      <c r="J36" s="1">
        <v>20</v>
      </c>
      <c r="K36" s="1">
        <v>27</v>
      </c>
      <c r="L36" s="1">
        <v>10</v>
      </c>
      <c r="M36" s="1">
        <v>4</v>
      </c>
    </row>
    <row r="37" spans="1:13" x14ac:dyDescent="0.2">
      <c r="A37" s="15" t="s">
        <v>130</v>
      </c>
      <c r="B37" s="1" t="s">
        <v>67</v>
      </c>
      <c r="C37" s="1">
        <v>2</v>
      </c>
      <c r="D37" s="1">
        <v>7.9424999999999999</v>
      </c>
      <c r="E37" s="1">
        <v>6.8653000000000004</v>
      </c>
      <c r="F37" s="1">
        <v>6.8653000000000004</v>
      </c>
      <c r="G37" s="1">
        <v>9.0198</v>
      </c>
      <c r="H37" s="1">
        <v>87</v>
      </c>
      <c r="I37" s="1">
        <v>30</v>
      </c>
      <c r="J37" s="1">
        <v>20</v>
      </c>
      <c r="K37" s="1">
        <v>27</v>
      </c>
      <c r="L37" s="1">
        <v>10</v>
      </c>
      <c r="M37" s="1">
        <v>4</v>
      </c>
    </row>
    <row r="38" spans="1:13" x14ac:dyDescent="0.2">
      <c r="A38" s="15" t="s">
        <v>131</v>
      </c>
      <c r="B38" s="1" t="s">
        <v>61</v>
      </c>
      <c r="C38" s="1">
        <v>1</v>
      </c>
      <c r="D38" s="1">
        <v>21.832799999999999</v>
      </c>
      <c r="E38" s="1">
        <v>21.832799999999999</v>
      </c>
      <c r="F38" s="1">
        <v>21.832799999999999</v>
      </c>
      <c r="G38" s="1">
        <v>21.832799999999999</v>
      </c>
      <c r="H38" s="1">
        <v>87</v>
      </c>
      <c r="I38" s="1">
        <v>30</v>
      </c>
      <c r="J38" s="1">
        <v>30</v>
      </c>
      <c r="K38" s="1">
        <v>27</v>
      </c>
      <c r="L38" s="1">
        <v>10</v>
      </c>
      <c r="M38" s="1">
        <v>4</v>
      </c>
    </row>
    <row r="39" spans="1:13" x14ac:dyDescent="0.2">
      <c r="A39" s="15" t="s">
        <v>132</v>
      </c>
      <c r="B39" s="1" t="s">
        <v>67</v>
      </c>
      <c r="C39" s="1">
        <v>17</v>
      </c>
      <c r="D39" s="1">
        <v>4.5548999999999999</v>
      </c>
      <c r="E39" s="1">
        <v>2.5855999999999999</v>
      </c>
      <c r="F39" s="1">
        <v>0.25219999999999998</v>
      </c>
      <c r="G39" s="1">
        <v>68.549800000000005</v>
      </c>
      <c r="H39" s="1">
        <v>97</v>
      </c>
      <c r="I39" s="1">
        <v>30</v>
      </c>
      <c r="J39" s="1">
        <v>30</v>
      </c>
      <c r="K39" s="1">
        <v>27</v>
      </c>
      <c r="L39" s="1">
        <v>10</v>
      </c>
      <c r="M39" s="1">
        <v>4</v>
      </c>
    </row>
    <row r="40" spans="1:13" x14ac:dyDescent="0.2">
      <c r="A40" s="15" t="s">
        <v>133</v>
      </c>
      <c r="B40" s="1" t="s">
        <v>95</v>
      </c>
      <c r="C40" s="1">
        <v>6</v>
      </c>
      <c r="D40" s="1">
        <v>7.4621000000000004</v>
      </c>
      <c r="E40" s="1">
        <v>6.3167</v>
      </c>
      <c r="F40" s="1">
        <v>0.28670000000000001</v>
      </c>
      <c r="G40" s="1">
        <v>30.0656</v>
      </c>
      <c r="H40" s="1">
        <v>100</v>
      </c>
      <c r="I40" s="1">
        <v>30</v>
      </c>
      <c r="J40" s="1">
        <v>30</v>
      </c>
      <c r="K40" s="1">
        <v>30</v>
      </c>
      <c r="L40" s="1">
        <v>10</v>
      </c>
      <c r="M40" s="1">
        <v>4</v>
      </c>
    </row>
    <row r="41" spans="1:13" x14ac:dyDescent="0.2">
      <c r="A41" s="15"/>
    </row>
    <row r="42" spans="1:13" x14ac:dyDescent="0.2">
      <c r="A42" s="15"/>
    </row>
    <row r="43" spans="1:13" x14ac:dyDescent="0.2">
      <c r="A43" s="15"/>
    </row>
    <row r="44" spans="1:13" x14ac:dyDescent="0.2">
      <c r="A44" s="15"/>
    </row>
    <row r="45" spans="1:13" x14ac:dyDescent="0.2">
      <c r="A45" s="15"/>
    </row>
    <row r="46" spans="1:13" x14ac:dyDescent="0.2">
      <c r="A46" s="15"/>
    </row>
    <row r="47" spans="1:13" x14ac:dyDescent="0.2">
      <c r="A47" s="15"/>
    </row>
    <row r="48" spans="1:13" x14ac:dyDescent="0.2">
      <c r="A48" s="15"/>
    </row>
    <row r="49" spans="1:1" x14ac:dyDescent="0.2">
      <c r="A49" s="15"/>
    </row>
    <row r="50" spans="1:1" x14ac:dyDescent="0.2">
      <c r="A50" s="15"/>
    </row>
    <row r="51" spans="1:1" x14ac:dyDescent="0.2">
      <c r="A51" s="15"/>
    </row>
    <row r="52" spans="1:1" x14ac:dyDescent="0.2">
      <c r="A52" s="15"/>
    </row>
    <row r="53" spans="1:1" x14ac:dyDescent="0.2">
      <c r="A53" s="15"/>
    </row>
    <row r="54" spans="1:1" x14ac:dyDescent="0.2">
      <c r="A54" s="15"/>
    </row>
    <row r="55" spans="1:1" x14ac:dyDescent="0.2">
      <c r="A55" s="15"/>
    </row>
    <row r="56" spans="1:1" x14ac:dyDescent="0.2">
      <c r="A56" s="15"/>
    </row>
    <row r="57" spans="1:1" x14ac:dyDescent="0.2">
      <c r="A57" s="15"/>
    </row>
    <row r="58" spans="1:1" x14ac:dyDescent="0.2">
      <c r="A58" s="15"/>
    </row>
    <row r="59" spans="1:1" x14ac:dyDescent="0.2">
      <c r="A59" s="15"/>
    </row>
    <row r="60" spans="1:1" x14ac:dyDescent="0.2">
      <c r="A60" s="15"/>
    </row>
    <row r="61" spans="1:1" x14ac:dyDescent="0.2">
      <c r="A61" s="15"/>
    </row>
    <row r="62" spans="1:1" x14ac:dyDescent="0.2">
      <c r="A62" s="15"/>
    </row>
    <row r="63" spans="1:1" x14ac:dyDescent="0.2">
      <c r="A63" s="15"/>
    </row>
    <row r="64" spans="1:1" x14ac:dyDescent="0.2">
      <c r="A64" s="15"/>
    </row>
    <row r="65" spans="1:1" x14ac:dyDescent="0.2">
      <c r="A65" s="15"/>
    </row>
    <row r="66" spans="1:1" x14ac:dyDescent="0.2">
      <c r="A66" s="15"/>
    </row>
    <row r="67" spans="1:1" x14ac:dyDescent="0.2">
      <c r="A67" s="15"/>
    </row>
    <row r="68" spans="1:1" x14ac:dyDescent="0.2">
      <c r="A68" s="15"/>
    </row>
    <row r="69" spans="1:1" x14ac:dyDescent="0.2">
      <c r="A69" s="15"/>
    </row>
    <row r="70" spans="1:1" x14ac:dyDescent="0.2">
      <c r="A70" s="15"/>
    </row>
    <row r="71" spans="1:1" x14ac:dyDescent="0.2">
      <c r="A71" s="15"/>
    </row>
    <row r="72" spans="1:1" x14ac:dyDescent="0.2">
      <c r="A72" s="15"/>
    </row>
    <row r="73" spans="1:1" x14ac:dyDescent="0.2">
      <c r="A73" s="15"/>
    </row>
    <row r="74" spans="1:1" x14ac:dyDescent="0.2">
      <c r="A74" s="15"/>
    </row>
    <row r="75" spans="1:1" x14ac:dyDescent="0.2">
      <c r="A75" s="15"/>
    </row>
    <row r="76" spans="1:1" x14ac:dyDescent="0.2">
      <c r="A76" s="15"/>
    </row>
    <row r="77" spans="1:1" x14ac:dyDescent="0.2">
      <c r="A77" s="15"/>
    </row>
    <row r="78" spans="1:1" x14ac:dyDescent="0.2">
      <c r="A78" s="15"/>
    </row>
    <row r="79" spans="1:1" x14ac:dyDescent="0.2">
      <c r="A79" s="15"/>
    </row>
    <row r="80" spans="1:1" x14ac:dyDescent="0.2">
      <c r="A80" s="15"/>
    </row>
    <row r="81" spans="1:1" x14ac:dyDescent="0.2">
      <c r="A81" s="15"/>
    </row>
    <row r="82" spans="1:1" x14ac:dyDescent="0.2">
      <c r="A82" s="15"/>
    </row>
    <row r="83" spans="1:1" x14ac:dyDescent="0.2">
      <c r="A83" s="15"/>
    </row>
    <row r="84" spans="1:1" x14ac:dyDescent="0.2">
      <c r="A84" s="15"/>
    </row>
    <row r="85" spans="1:1" x14ac:dyDescent="0.2">
      <c r="A85" s="15"/>
    </row>
    <row r="86" spans="1:1" x14ac:dyDescent="0.2">
      <c r="A86" s="15"/>
    </row>
    <row r="87" spans="1:1" x14ac:dyDescent="0.2">
      <c r="A87" s="15"/>
    </row>
    <row r="88" spans="1:1" x14ac:dyDescent="0.2">
      <c r="A88" s="15"/>
    </row>
    <row r="89" spans="1:1" x14ac:dyDescent="0.2">
      <c r="A89" s="15"/>
    </row>
    <row r="90" spans="1:1" x14ac:dyDescent="0.2">
      <c r="A90" s="15"/>
    </row>
    <row r="91" spans="1:1" x14ac:dyDescent="0.2">
      <c r="A91" s="15"/>
    </row>
    <row r="92" spans="1:1" x14ac:dyDescent="0.2">
      <c r="A92" s="15"/>
    </row>
    <row r="93" spans="1:1" x14ac:dyDescent="0.2">
      <c r="A93" s="15"/>
    </row>
    <row r="94" spans="1:1" x14ac:dyDescent="0.2">
      <c r="A94" s="15"/>
    </row>
    <row r="95" spans="1:1" x14ac:dyDescent="0.2">
      <c r="A95" s="15"/>
    </row>
    <row r="96" spans="1:1" x14ac:dyDescent="0.2">
      <c r="A96" s="15"/>
    </row>
    <row r="97" spans="1:1" x14ac:dyDescent="0.2">
      <c r="A97" s="15"/>
    </row>
    <row r="98" spans="1:1" x14ac:dyDescent="0.2">
      <c r="A98" s="15"/>
    </row>
    <row r="99" spans="1:1" x14ac:dyDescent="0.2">
      <c r="A99" s="15"/>
    </row>
    <row r="100" spans="1:1" x14ac:dyDescent="0.2">
      <c r="A100" s="15"/>
    </row>
    <row r="101" spans="1:1" x14ac:dyDescent="0.2">
      <c r="A101" s="15"/>
    </row>
    <row r="102" spans="1:1" x14ac:dyDescent="0.2">
      <c r="A102" s="15"/>
    </row>
    <row r="103" spans="1:1" x14ac:dyDescent="0.2">
      <c r="A103" s="15"/>
    </row>
    <row r="104" spans="1:1" x14ac:dyDescent="0.2">
      <c r="A104" s="15"/>
    </row>
    <row r="105" spans="1:1" x14ac:dyDescent="0.2">
      <c r="A105" s="15"/>
    </row>
    <row r="106" spans="1:1" x14ac:dyDescent="0.2">
      <c r="A106" s="15"/>
    </row>
    <row r="107" spans="1:1" x14ac:dyDescent="0.2">
      <c r="A107" s="15"/>
    </row>
    <row r="108" spans="1:1" x14ac:dyDescent="0.2">
      <c r="A108" s="15"/>
    </row>
    <row r="109" spans="1:1" x14ac:dyDescent="0.2">
      <c r="A109" s="15"/>
    </row>
    <row r="110" spans="1:1" x14ac:dyDescent="0.2">
      <c r="A110" s="15"/>
    </row>
    <row r="111" spans="1:1" x14ac:dyDescent="0.2">
      <c r="A111" s="15"/>
    </row>
    <row r="112" spans="1:1" x14ac:dyDescent="0.2">
      <c r="A112" s="15"/>
    </row>
    <row r="113" spans="1:1" x14ac:dyDescent="0.2">
      <c r="A113" s="15"/>
    </row>
    <row r="114" spans="1:1" x14ac:dyDescent="0.2">
      <c r="A114" s="15"/>
    </row>
    <row r="115" spans="1:1" x14ac:dyDescent="0.2">
      <c r="A115" s="15"/>
    </row>
    <row r="116" spans="1:1" x14ac:dyDescent="0.2">
      <c r="A116" s="15"/>
    </row>
    <row r="117" spans="1:1" x14ac:dyDescent="0.2">
      <c r="A117" s="15"/>
    </row>
    <row r="118" spans="1:1" x14ac:dyDescent="0.2">
      <c r="A118" s="15"/>
    </row>
    <row r="119" spans="1:1" x14ac:dyDescent="0.2">
      <c r="A119" s="15"/>
    </row>
    <row r="120" spans="1:1" x14ac:dyDescent="0.2">
      <c r="A120" s="15"/>
    </row>
    <row r="121" spans="1:1" x14ac:dyDescent="0.2">
      <c r="A121" s="15"/>
    </row>
    <row r="122" spans="1:1" x14ac:dyDescent="0.2">
      <c r="A122" s="15"/>
    </row>
    <row r="123" spans="1:1" x14ac:dyDescent="0.2">
      <c r="A123" s="15"/>
    </row>
    <row r="124" spans="1:1" x14ac:dyDescent="0.2">
      <c r="A124" s="15"/>
    </row>
    <row r="125" spans="1:1" x14ac:dyDescent="0.2">
      <c r="A125" s="15"/>
    </row>
    <row r="126" spans="1:1" x14ac:dyDescent="0.2">
      <c r="A126" s="15"/>
    </row>
    <row r="127" spans="1:1" x14ac:dyDescent="0.2">
      <c r="A127" s="15"/>
    </row>
    <row r="128" spans="1:1" x14ac:dyDescent="0.2">
      <c r="A128" s="15"/>
    </row>
    <row r="129" spans="1:1" x14ac:dyDescent="0.2">
      <c r="A129" s="15"/>
    </row>
    <row r="130" spans="1:1" x14ac:dyDescent="0.2">
      <c r="A130" s="15"/>
    </row>
    <row r="131" spans="1:1" x14ac:dyDescent="0.2">
      <c r="A131" s="15"/>
    </row>
    <row r="132" spans="1:1" x14ac:dyDescent="0.2">
      <c r="A132" s="15"/>
    </row>
    <row r="133" spans="1:1" x14ac:dyDescent="0.2">
      <c r="A133" s="15"/>
    </row>
    <row r="134" spans="1:1" x14ac:dyDescent="0.2">
      <c r="A134" s="15"/>
    </row>
    <row r="135" spans="1:1" x14ac:dyDescent="0.2">
      <c r="A135" s="15"/>
    </row>
    <row r="136" spans="1:1" x14ac:dyDescent="0.2">
      <c r="A136" s="15"/>
    </row>
    <row r="137" spans="1:1" x14ac:dyDescent="0.2">
      <c r="A137" s="15"/>
    </row>
    <row r="138" spans="1:1" x14ac:dyDescent="0.2">
      <c r="A138" s="15"/>
    </row>
    <row r="139" spans="1:1" x14ac:dyDescent="0.2">
      <c r="A139" s="15"/>
    </row>
    <row r="140" spans="1:1" x14ac:dyDescent="0.2">
      <c r="A140" s="15"/>
    </row>
    <row r="141" spans="1:1" x14ac:dyDescent="0.2">
      <c r="A141" s="15"/>
    </row>
    <row r="142" spans="1:1" x14ac:dyDescent="0.2">
      <c r="A142" s="15"/>
    </row>
    <row r="143" spans="1:1" x14ac:dyDescent="0.2">
      <c r="A143" s="15"/>
    </row>
    <row r="144" spans="1:1" x14ac:dyDescent="0.2">
      <c r="A144" s="15"/>
    </row>
    <row r="145" spans="1:1" x14ac:dyDescent="0.2">
      <c r="A145" s="15"/>
    </row>
    <row r="146" spans="1:1" x14ac:dyDescent="0.2">
      <c r="A146" s="15"/>
    </row>
    <row r="147" spans="1:1" x14ac:dyDescent="0.2">
      <c r="A147" s="15"/>
    </row>
    <row r="148" spans="1:1" x14ac:dyDescent="0.2">
      <c r="A148" s="15"/>
    </row>
    <row r="149" spans="1:1" x14ac:dyDescent="0.2">
      <c r="A149" s="15"/>
    </row>
    <row r="150" spans="1:1" x14ac:dyDescent="0.2">
      <c r="A150" s="15"/>
    </row>
    <row r="151" spans="1:1" x14ac:dyDescent="0.2">
      <c r="A151" s="15"/>
    </row>
    <row r="152" spans="1:1" x14ac:dyDescent="0.2">
      <c r="A152" s="15"/>
    </row>
    <row r="153" spans="1:1" x14ac:dyDescent="0.2">
      <c r="A153" s="15"/>
    </row>
    <row r="154" spans="1:1" x14ac:dyDescent="0.2">
      <c r="A154" s="15"/>
    </row>
    <row r="155" spans="1:1" x14ac:dyDescent="0.2">
      <c r="A155" s="15"/>
    </row>
    <row r="156" spans="1:1" x14ac:dyDescent="0.2">
      <c r="A156" s="15"/>
    </row>
    <row r="157" spans="1:1" x14ac:dyDescent="0.2">
      <c r="A157" s="15"/>
    </row>
    <row r="158" spans="1:1" x14ac:dyDescent="0.2">
      <c r="A158" s="15"/>
    </row>
    <row r="159" spans="1:1" x14ac:dyDescent="0.2">
      <c r="A159" s="15"/>
    </row>
    <row r="160" spans="1:1" x14ac:dyDescent="0.2">
      <c r="A160" s="15"/>
    </row>
    <row r="161" spans="1:1" x14ac:dyDescent="0.2">
      <c r="A161" s="15"/>
    </row>
    <row r="162" spans="1:1" x14ac:dyDescent="0.2">
      <c r="A162" s="15"/>
    </row>
    <row r="163" spans="1:1" x14ac:dyDescent="0.2">
      <c r="A163" s="15"/>
    </row>
    <row r="164" spans="1:1" x14ac:dyDescent="0.2">
      <c r="A164" s="15"/>
    </row>
    <row r="165" spans="1:1" x14ac:dyDescent="0.2">
      <c r="A165" s="15"/>
    </row>
    <row r="166" spans="1:1" x14ac:dyDescent="0.2">
      <c r="A166" s="15"/>
    </row>
    <row r="167" spans="1:1" x14ac:dyDescent="0.2">
      <c r="A167" s="15"/>
    </row>
    <row r="168" spans="1:1" x14ac:dyDescent="0.2">
      <c r="A168" s="15"/>
    </row>
    <row r="169" spans="1:1" x14ac:dyDescent="0.2">
      <c r="A169" s="15"/>
    </row>
    <row r="170" spans="1:1" x14ac:dyDescent="0.2">
      <c r="A170" s="15"/>
    </row>
    <row r="171" spans="1:1" x14ac:dyDescent="0.2">
      <c r="A171" s="15"/>
    </row>
    <row r="172" spans="1:1" x14ac:dyDescent="0.2">
      <c r="A172" s="15"/>
    </row>
    <row r="173" spans="1:1" x14ac:dyDescent="0.2">
      <c r="A173" s="15"/>
    </row>
    <row r="174" spans="1:1" x14ac:dyDescent="0.2">
      <c r="A174" s="15"/>
    </row>
    <row r="175" spans="1:1" x14ac:dyDescent="0.2">
      <c r="A175" s="15"/>
    </row>
    <row r="176" spans="1:1" x14ac:dyDescent="0.2">
      <c r="A176" s="15"/>
    </row>
    <row r="177" spans="1:1" x14ac:dyDescent="0.2">
      <c r="A177" s="15"/>
    </row>
    <row r="178" spans="1:1" x14ac:dyDescent="0.2">
      <c r="A178" s="15"/>
    </row>
    <row r="179" spans="1:1" x14ac:dyDescent="0.2">
      <c r="A179" s="15"/>
    </row>
    <row r="180" spans="1:1" x14ac:dyDescent="0.2">
      <c r="A180" s="15"/>
    </row>
    <row r="181" spans="1:1" x14ac:dyDescent="0.2">
      <c r="A181" s="15"/>
    </row>
    <row r="182" spans="1:1" x14ac:dyDescent="0.2">
      <c r="A182" s="15"/>
    </row>
    <row r="183" spans="1:1" x14ac:dyDescent="0.2">
      <c r="A183" s="15"/>
    </row>
    <row r="184" spans="1:1" x14ac:dyDescent="0.2">
      <c r="A184" s="15"/>
    </row>
    <row r="185" spans="1:1" x14ac:dyDescent="0.2">
      <c r="A185" s="15"/>
    </row>
    <row r="186" spans="1:1" x14ac:dyDescent="0.2">
      <c r="A186" s="15"/>
    </row>
    <row r="187" spans="1:1" x14ac:dyDescent="0.2">
      <c r="A187" s="15"/>
    </row>
    <row r="188" spans="1:1" x14ac:dyDescent="0.2">
      <c r="A188" s="15"/>
    </row>
    <row r="189" spans="1:1" x14ac:dyDescent="0.2">
      <c r="A189" s="15"/>
    </row>
    <row r="190" spans="1:1" x14ac:dyDescent="0.2">
      <c r="A190" s="15"/>
    </row>
    <row r="191" spans="1:1" x14ac:dyDescent="0.2">
      <c r="A191" s="15"/>
    </row>
    <row r="192" spans="1:1" x14ac:dyDescent="0.2">
      <c r="A192" s="15"/>
    </row>
    <row r="193" spans="1:1" x14ac:dyDescent="0.2">
      <c r="A193" s="15"/>
    </row>
    <row r="194" spans="1:1" x14ac:dyDescent="0.2">
      <c r="A194" s="15"/>
    </row>
    <row r="195" spans="1:1" x14ac:dyDescent="0.2">
      <c r="A195" s="15"/>
    </row>
    <row r="196" spans="1:1" x14ac:dyDescent="0.2">
      <c r="A196" s="15"/>
    </row>
    <row r="197" spans="1:1" x14ac:dyDescent="0.2">
      <c r="A197" s="15"/>
    </row>
    <row r="198" spans="1:1" x14ac:dyDescent="0.2">
      <c r="A198" s="15"/>
    </row>
    <row r="199" spans="1:1" x14ac:dyDescent="0.2">
      <c r="A199" s="15"/>
    </row>
    <row r="200" spans="1:1" x14ac:dyDescent="0.2">
      <c r="A200" s="15"/>
    </row>
    <row r="201" spans="1:1" x14ac:dyDescent="0.2">
      <c r="A201" s="15"/>
    </row>
    <row r="202" spans="1:1" x14ac:dyDescent="0.2">
      <c r="A202" s="15"/>
    </row>
    <row r="203" spans="1:1" x14ac:dyDescent="0.2">
      <c r="A203" s="15"/>
    </row>
    <row r="204" spans="1:1" x14ac:dyDescent="0.2">
      <c r="A204" s="15"/>
    </row>
    <row r="205" spans="1:1" x14ac:dyDescent="0.2">
      <c r="A205" s="15"/>
    </row>
    <row r="206" spans="1:1" x14ac:dyDescent="0.2">
      <c r="A206" s="15"/>
    </row>
    <row r="207" spans="1:1" x14ac:dyDescent="0.2">
      <c r="A207" s="15"/>
    </row>
    <row r="208" spans="1:1" x14ac:dyDescent="0.2">
      <c r="A208" s="15"/>
    </row>
    <row r="209" spans="1:1" x14ac:dyDescent="0.2">
      <c r="A209" s="15"/>
    </row>
    <row r="210" spans="1:1" x14ac:dyDescent="0.2">
      <c r="A210" s="15"/>
    </row>
    <row r="211" spans="1:1" x14ac:dyDescent="0.2">
      <c r="A211" s="15"/>
    </row>
    <row r="212" spans="1:1" x14ac:dyDescent="0.2">
      <c r="A212" s="15"/>
    </row>
    <row r="213" spans="1:1" x14ac:dyDescent="0.2">
      <c r="A213" s="15"/>
    </row>
    <row r="214" spans="1:1" x14ac:dyDescent="0.2">
      <c r="A214" s="15"/>
    </row>
    <row r="215" spans="1:1" x14ac:dyDescent="0.2">
      <c r="A215" s="15"/>
    </row>
    <row r="216" spans="1:1" x14ac:dyDescent="0.2">
      <c r="A216" s="15"/>
    </row>
    <row r="217" spans="1:1" x14ac:dyDescent="0.2">
      <c r="A217" s="15"/>
    </row>
    <row r="218" spans="1:1" x14ac:dyDescent="0.2">
      <c r="A218" s="15"/>
    </row>
    <row r="219" spans="1:1" x14ac:dyDescent="0.2">
      <c r="A219" s="15"/>
    </row>
    <row r="220" spans="1:1" x14ac:dyDescent="0.2">
      <c r="A220" s="15"/>
    </row>
    <row r="221" spans="1:1" x14ac:dyDescent="0.2">
      <c r="A221" s="15"/>
    </row>
    <row r="222" spans="1:1" x14ac:dyDescent="0.2">
      <c r="A222" s="15"/>
    </row>
    <row r="223" spans="1:1" x14ac:dyDescent="0.2">
      <c r="A223" s="15"/>
    </row>
    <row r="224" spans="1:1" x14ac:dyDescent="0.2">
      <c r="A224" s="15"/>
    </row>
    <row r="225" spans="1:1" x14ac:dyDescent="0.2">
      <c r="A225" s="15"/>
    </row>
    <row r="226" spans="1:1" x14ac:dyDescent="0.2">
      <c r="A226" s="15"/>
    </row>
    <row r="227" spans="1:1" x14ac:dyDescent="0.2">
      <c r="A227" s="15"/>
    </row>
    <row r="228" spans="1:1" x14ac:dyDescent="0.2">
      <c r="A228" s="15"/>
    </row>
    <row r="229" spans="1:1" x14ac:dyDescent="0.2">
      <c r="A229" s="15"/>
    </row>
    <row r="230" spans="1:1" x14ac:dyDescent="0.2">
      <c r="A230" s="15"/>
    </row>
    <row r="231" spans="1:1" x14ac:dyDescent="0.2">
      <c r="A231" s="15"/>
    </row>
    <row r="232" spans="1:1" x14ac:dyDescent="0.2">
      <c r="A232" s="15"/>
    </row>
    <row r="233" spans="1:1" x14ac:dyDescent="0.2">
      <c r="A233" s="15"/>
    </row>
    <row r="234" spans="1:1" x14ac:dyDescent="0.2">
      <c r="A234" s="15"/>
    </row>
    <row r="235" spans="1:1" x14ac:dyDescent="0.2">
      <c r="A235" s="15"/>
    </row>
    <row r="236" spans="1:1" x14ac:dyDescent="0.2">
      <c r="A236" s="15"/>
    </row>
    <row r="237" spans="1:1" x14ac:dyDescent="0.2">
      <c r="A237" s="15"/>
    </row>
    <row r="238" spans="1:1" x14ac:dyDescent="0.2">
      <c r="A238" s="15"/>
    </row>
    <row r="239" spans="1:1" x14ac:dyDescent="0.2">
      <c r="A239" s="15"/>
    </row>
    <row r="240" spans="1:1" x14ac:dyDescent="0.2">
      <c r="A240" s="15"/>
    </row>
    <row r="241" spans="1:1" x14ac:dyDescent="0.2">
      <c r="A241" s="15"/>
    </row>
    <row r="242" spans="1:1" x14ac:dyDescent="0.2">
      <c r="A242" s="15"/>
    </row>
    <row r="243" spans="1:1" x14ac:dyDescent="0.2">
      <c r="A243" s="15"/>
    </row>
    <row r="244" spans="1:1" x14ac:dyDescent="0.2">
      <c r="A244" s="15"/>
    </row>
    <row r="245" spans="1:1" x14ac:dyDescent="0.2">
      <c r="A245" s="15"/>
    </row>
    <row r="246" spans="1:1" x14ac:dyDescent="0.2">
      <c r="A246" s="15"/>
    </row>
    <row r="247" spans="1:1" x14ac:dyDescent="0.2">
      <c r="A247" s="15"/>
    </row>
    <row r="248" spans="1:1" x14ac:dyDescent="0.2">
      <c r="A248" s="15"/>
    </row>
    <row r="249" spans="1:1" x14ac:dyDescent="0.2">
      <c r="A249" s="15"/>
    </row>
    <row r="250" spans="1:1" x14ac:dyDescent="0.2">
      <c r="A250" s="15"/>
    </row>
    <row r="251" spans="1:1" x14ac:dyDescent="0.2">
      <c r="A251" s="15"/>
    </row>
    <row r="252" spans="1:1" x14ac:dyDescent="0.2">
      <c r="A252" s="15"/>
    </row>
    <row r="253" spans="1:1" x14ac:dyDescent="0.2">
      <c r="A253" s="15"/>
    </row>
    <row r="254" spans="1:1" x14ac:dyDescent="0.2">
      <c r="A254" s="15"/>
    </row>
    <row r="255" spans="1:1" x14ac:dyDescent="0.2">
      <c r="A255" s="15"/>
    </row>
    <row r="256" spans="1:1" x14ac:dyDescent="0.2">
      <c r="A256" s="15"/>
    </row>
    <row r="257" spans="1:1" x14ac:dyDescent="0.2">
      <c r="A257" s="15"/>
    </row>
    <row r="258" spans="1:1" x14ac:dyDescent="0.2">
      <c r="A258" s="15"/>
    </row>
    <row r="259" spans="1:1" x14ac:dyDescent="0.2">
      <c r="A259" s="15"/>
    </row>
    <row r="260" spans="1:1" x14ac:dyDescent="0.2">
      <c r="A260" s="15"/>
    </row>
    <row r="261" spans="1:1" x14ac:dyDescent="0.2">
      <c r="A261" s="15"/>
    </row>
    <row r="262" spans="1:1" x14ac:dyDescent="0.2">
      <c r="A262" s="15"/>
    </row>
    <row r="263" spans="1:1" x14ac:dyDescent="0.2">
      <c r="A263" s="15"/>
    </row>
    <row r="264" spans="1:1" x14ac:dyDescent="0.2">
      <c r="A264" s="15"/>
    </row>
    <row r="265" spans="1:1" x14ac:dyDescent="0.2">
      <c r="A265" s="15"/>
    </row>
    <row r="266" spans="1:1" x14ac:dyDescent="0.2">
      <c r="A266" s="15"/>
    </row>
    <row r="267" spans="1:1" x14ac:dyDescent="0.2">
      <c r="A267" s="15"/>
    </row>
    <row r="268" spans="1:1" x14ac:dyDescent="0.2">
      <c r="A268" s="15"/>
    </row>
    <row r="269" spans="1:1" x14ac:dyDescent="0.2">
      <c r="A269" s="15"/>
    </row>
    <row r="270" spans="1:1" x14ac:dyDescent="0.2">
      <c r="A270" s="15"/>
    </row>
    <row r="271" spans="1:1" x14ac:dyDescent="0.2">
      <c r="A271" s="15"/>
    </row>
    <row r="272" spans="1:1" x14ac:dyDescent="0.2">
      <c r="A272" s="15"/>
    </row>
    <row r="273" spans="1:1" x14ac:dyDescent="0.2">
      <c r="A273" s="15"/>
    </row>
    <row r="274" spans="1:1" x14ac:dyDescent="0.2">
      <c r="A274" s="15"/>
    </row>
    <row r="275" spans="1:1" x14ac:dyDescent="0.2">
      <c r="A275" s="15"/>
    </row>
    <row r="276" spans="1:1" x14ac:dyDescent="0.2">
      <c r="A276" s="15"/>
    </row>
    <row r="277" spans="1:1" x14ac:dyDescent="0.2">
      <c r="A277" s="15"/>
    </row>
    <row r="278" spans="1:1" x14ac:dyDescent="0.2">
      <c r="A278" s="15"/>
    </row>
    <row r="279" spans="1:1" x14ac:dyDescent="0.2">
      <c r="A279" s="15"/>
    </row>
    <row r="280" spans="1:1" x14ac:dyDescent="0.2">
      <c r="A280" s="15"/>
    </row>
    <row r="281" spans="1:1" x14ac:dyDescent="0.2">
      <c r="A281" s="15"/>
    </row>
    <row r="282" spans="1:1" x14ac:dyDescent="0.2">
      <c r="A282" s="15"/>
    </row>
    <row r="283" spans="1:1" x14ac:dyDescent="0.2">
      <c r="A283" s="15"/>
    </row>
    <row r="284" spans="1:1" x14ac:dyDescent="0.2">
      <c r="A284" s="15"/>
    </row>
    <row r="285" spans="1:1" x14ac:dyDescent="0.2">
      <c r="A285" s="15"/>
    </row>
    <row r="286" spans="1:1" x14ac:dyDescent="0.2">
      <c r="A286" s="15"/>
    </row>
    <row r="287" spans="1:1" x14ac:dyDescent="0.2">
      <c r="A287" s="15"/>
    </row>
    <row r="288" spans="1:1" x14ac:dyDescent="0.2">
      <c r="A288" s="15"/>
    </row>
    <row r="289" spans="1:1" x14ac:dyDescent="0.2">
      <c r="A289" s="15"/>
    </row>
    <row r="290" spans="1:1" x14ac:dyDescent="0.2">
      <c r="A290" s="15"/>
    </row>
    <row r="291" spans="1:1" x14ac:dyDescent="0.2">
      <c r="A291" s="15"/>
    </row>
    <row r="292" spans="1:1" x14ac:dyDescent="0.2">
      <c r="A292" s="15"/>
    </row>
    <row r="293" spans="1:1" x14ac:dyDescent="0.2">
      <c r="A293" s="15"/>
    </row>
    <row r="294" spans="1:1" x14ac:dyDescent="0.2">
      <c r="A294" s="15"/>
    </row>
    <row r="295" spans="1:1" x14ac:dyDescent="0.2">
      <c r="A295" s="15"/>
    </row>
    <row r="296" spans="1:1" x14ac:dyDescent="0.2">
      <c r="A296" s="15"/>
    </row>
    <row r="297" spans="1:1" x14ac:dyDescent="0.2">
      <c r="A297" s="15"/>
    </row>
    <row r="298" spans="1:1" x14ac:dyDescent="0.2">
      <c r="A298" s="15"/>
    </row>
    <row r="299" spans="1:1" x14ac:dyDescent="0.2">
      <c r="A299" s="15"/>
    </row>
    <row r="300" spans="1:1" x14ac:dyDescent="0.2">
      <c r="A300" s="15"/>
    </row>
    <row r="301" spans="1:1" x14ac:dyDescent="0.2">
      <c r="A301" s="15"/>
    </row>
    <row r="302" spans="1:1" x14ac:dyDescent="0.2">
      <c r="A302" s="15"/>
    </row>
    <row r="303" spans="1:1" x14ac:dyDescent="0.2">
      <c r="A303" s="15"/>
    </row>
    <row r="304" spans="1:1" x14ac:dyDescent="0.2">
      <c r="A304" s="15"/>
    </row>
    <row r="305" spans="1:1" x14ac:dyDescent="0.2">
      <c r="A305" s="15"/>
    </row>
    <row r="306" spans="1:1" x14ac:dyDescent="0.2">
      <c r="A306" s="15"/>
    </row>
    <row r="307" spans="1:1" x14ac:dyDescent="0.2">
      <c r="A307" s="15"/>
    </row>
    <row r="308" spans="1:1" x14ac:dyDescent="0.2">
      <c r="A308" s="15"/>
    </row>
    <row r="309" spans="1:1" x14ac:dyDescent="0.2">
      <c r="A309" s="15"/>
    </row>
    <row r="310" spans="1:1" x14ac:dyDescent="0.2">
      <c r="A310" s="15"/>
    </row>
    <row r="311" spans="1:1" x14ac:dyDescent="0.2">
      <c r="A311" s="15"/>
    </row>
    <row r="312" spans="1:1" x14ac:dyDescent="0.2">
      <c r="A312" s="15"/>
    </row>
    <row r="313" spans="1:1" x14ac:dyDescent="0.2">
      <c r="A313" s="15"/>
    </row>
    <row r="314" spans="1:1" x14ac:dyDescent="0.2">
      <c r="A314" s="15"/>
    </row>
    <row r="315" spans="1:1" x14ac:dyDescent="0.2">
      <c r="A315" s="15"/>
    </row>
    <row r="316" spans="1:1" x14ac:dyDescent="0.2">
      <c r="A316" s="15"/>
    </row>
    <row r="317" spans="1:1" x14ac:dyDescent="0.2">
      <c r="A317" s="15"/>
    </row>
    <row r="318" spans="1:1" x14ac:dyDescent="0.2">
      <c r="A318" s="15"/>
    </row>
    <row r="319" spans="1:1" x14ac:dyDescent="0.2">
      <c r="A319" s="15"/>
    </row>
    <row r="320" spans="1:1" x14ac:dyDescent="0.2">
      <c r="A320" s="15"/>
    </row>
    <row r="321" spans="1:1" x14ac:dyDescent="0.2">
      <c r="A321" s="15"/>
    </row>
    <row r="322" spans="1:1" x14ac:dyDescent="0.2">
      <c r="A322" s="15"/>
    </row>
    <row r="323" spans="1:1" x14ac:dyDescent="0.2">
      <c r="A323" s="15"/>
    </row>
    <row r="324" spans="1:1" x14ac:dyDescent="0.2">
      <c r="A324" s="15"/>
    </row>
    <row r="325" spans="1:1" x14ac:dyDescent="0.2">
      <c r="A325" s="15"/>
    </row>
    <row r="326" spans="1:1" x14ac:dyDescent="0.2">
      <c r="A326" s="15"/>
    </row>
    <row r="327" spans="1:1" x14ac:dyDescent="0.2">
      <c r="A327" s="15"/>
    </row>
  </sheetData>
  <conditionalFormatting sqref="A2:M40">
    <cfRule type="expression" dxfId="2" priority="1">
      <formula>AND($D2&lt;&gt;"",$D1&lt;&gt;"",$D2&gt;0,$D1&gt;0,$D2&lt;$D1)</formula>
    </cfRule>
    <cfRule type="expression" dxfId="1" priority="2">
      <formula>AND($D2&lt;&gt;"",$D1&lt;&gt;"",$D2&gt;0,$D1&gt;0,$D2&lt;$D1)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3AF5-DB68-794C-B402-B1C9B757C093}">
  <dimension ref="A1:M33"/>
  <sheetViews>
    <sheetView tabSelected="1" workbookViewId="0">
      <selection activeCell="D2" sqref="D2"/>
    </sheetView>
  </sheetViews>
  <sheetFormatPr baseColWidth="10" defaultRowHeight="16" x14ac:dyDescent="0.2"/>
  <cols>
    <col min="1" max="1" width="27.6640625" style="1" customWidth="1"/>
    <col min="2" max="2" width="15.1640625" style="1" customWidth="1"/>
    <col min="3" max="3" width="21" style="1" customWidth="1"/>
    <col min="4" max="4" width="20.6640625" style="1" customWidth="1"/>
    <col min="5" max="5" width="17.33203125" style="1" customWidth="1"/>
    <col min="6" max="6" width="22.33203125" style="1" customWidth="1"/>
    <col min="7" max="7" width="17.6640625" style="1" customWidth="1"/>
    <col min="8" max="8" width="10.5" style="1" customWidth="1"/>
    <col min="9" max="9" width="11.83203125" style="1" customWidth="1"/>
    <col min="10" max="10" width="16.1640625" style="1" customWidth="1"/>
    <col min="11" max="11" width="14.33203125" style="1" customWidth="1"/>
    <col min="12" max="12" width="10.83203125" style="1"/>
    <col min="13" max="13" width="12.5" style="1" customWidth="1"/>
    <col min="14" max="16384" width="10.83203125" style="1"/>
  </cols>
  <sheetData>
    <row r="1" spans="1:13" s="14" customFormat="1" x14ac:dyDescent="0.2">
      <c r="A1" s="13" t="s">
        <v>47</v>
      </c>
      <c r="B1" s="14" t="s">
        <v>48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53</v>
      </c>
      <c r="H1" s="14" t="s">
        <v>54</v>
      </c>
      <c r="I1" s="14" t="s">
        <v>55</v>
      </c>
      <c r="J1" s="14" t="s">
        <v>56</v>
      </c>
      <c r="K1" s="14" t="s">
        <v>57</v>
      </c>
      <c r="L1" s="14" t="s">
        <v>58</v>
      </c>
      <c r="M1" s="14" t="s">
        <v>59</v>
      </c>
    </row>
    <row r="2" spans="1:13" x14ac:dyDescent="0.2">
      <c r="A2" s="15" t="s">
        <v>60</v>
      </c>
      <c r="B2" s="1" t="s">
        <v>61</v>
      </c>
      <c r="C2" s="1">
        <v>156</v>
      </c>
      <c r="D2" s="1">
        <v>0.28000000000000003</v>
      </c>
      <c r="E2" s="1">
        <v>0.34760000000000002</v>
      </c>
      <c r="F2" s="1">
        <v>0.2344</v>
      </c>
      <c r="G2" s="1">
        <v>0.4829</v>
      </c>
      <c r="H2" s="1">
        <v>5</v>
      </c>
      <c r="I2" s="1">
        <v>2</v>
      </c>
      <c r="J2" s="1">
        <v>2</v>
      </c>
      <c r="K2" s="1">
        <v>2</v>
      </c>
      <c r="L2" s="1">
        <v>1</v>
      </c>
      <c r="M2" s="1">
        <v>1</v>
      </c>
    </row>
    <row r="3" spans="1:13" x14ac:dyDescent="0.2">
      <c r="A3" s="15" t="s">
        <v>62</v>
      </c>
      <c r="B3" s="1" t="s">
        <v>61</v>
      </c>
      <c r="C3" s="1">
        <v>2</v>
      </c>
      <c r="D3" s="1">
        <v>0.47939999999999999</v>
      </c>
      <c r="E3" s="1">
        <v>0.31780000000000003</v>
      </c>
      <c r="F3" s="1">
        <v>0.31780000000000003</v>
      </c>
      <c r="G3" s="1">
        <v>0.64100000000000001</v>
      </c>
      <c r="H3" s="1">
        <v>7</v>
      </c>
      <c r="I3" s="1">
        <v>2</v>
      </c>
      <c r="J3" s="1">
        <v>2</v>
      </c>
      <c r="K3" s="1">
        <v>2</v>
      </c>
      <c r="L3" s="1">
        <v>1</v>
      </c>
      <c r="M3" s="1">
        <v>1</v>
      </c>
    </row>
    <row r="4" spans="1:13" x14ac:dyDescent="0.2">
      <c r="A4" s="15" t="s">
        <v>63</v>
      </c>
      <c r="B4" s="1" t="s">
        <v>61</v>
      </c>
      <c r="C4" s="1">
        <v>31</v>
      </c>
      <c r="D4" s="1">
        <v>0.36749999999999999</v>
      </c>
      <c r="E4" s="1">
        <v>0.57940000000000003</v>
      </c>
      <c r="F4" s="1">
        <v>0.27610000000000001</v>
      </c>
      <c r="G4" s="1">
        <v>0.86970000000000003</v>
      </c>
      <c r="H4" s="1">
        <v>8</v>
      </c>
      <c r="I4" s="1">
        <v>3</v>
      </c>
      <c r="J4" s="1">
        <v>3</v>
      </c>
      <c r="K4" s="1">
        <v>2</v>
      </c>
      <c r="L4" s="1">
        <v>1</v>
      </c>
      <c r="M4" s="1">
        <v>1</v>
      </c>
    </row>
    <row r="5" spans="1:13" x14ac:dyDescent="0.2">
      <c r="A5" s="15" t="s">
        <v>64</v>
      </c>
      <c r="B5" s="1" t="s">
        <v>65</v>
      </c>
      <c r="C5" s="1">
        <v>1</v>
      </c>
      <c r="D5" s="1">
        <v>0.94689999999999996</v>
      </c>
      <c r="E5" s="1">
        <v>0.94689999999999996</v>
      </c>
      <c r="F5" s="1">
        <v>0.94689999999999996</v>
      </c>
      <c r="G5" s="1">
        <v>0.94689999999999996</v>
      </c>
      <c r="H5" s="1">
        <v>9</v>
      </c>
      <c r="I5" s="1">
        <v>3</v>
      </c>
      <c r="J5" s="1">
        <v>3</v>
      </c>
      <c r="K5" s="1">
        <v>2</v>
      </c>
      <c r="L5" s="1">
        <v>1</v>
      </c>
      <c r="M5" s="1">
        <v>1</v>
      </c>
    </row>
    <row r="6" spans="1:13" x14ac:dyDescent="0.2">
      <c r="A6" s="15" t="s">
        <v>66</v>
      </c>
      <c r="B6" s="16" t="s">
        <v>67</v>
      </c>
      <c r="C6" s="1">
        <v>2</v>
      </c>
      <c r="D6" s="16">
        <v>0.94489999999999996</v>
      </c>
      <c r="E6" s="1">
        <v>0.61350000000000005</v>
      </c>
      <c r="F6" s="1">
        <v>0.61350000000000005</v>
      </c>
      <c r="G6" s="1">
        <v>1.2764</v>
      </c>
      <c r="H6" s="1">
        <v>9</v>
      </c>
      <c r="I6" s="1">
        <v>3</v>
      </c>
      <c r="J6" s="1">
        <v>3</v>
      </c>
      <c r="K6" s="1">
        <v>2</v>
      </c>
      <c r="L6" s="1">
        <v>1</v>
      </c>
      <c r="M6" s="1">
        <v>1</v>
      </c>
    </row>
    <row r="7" spans="1:13" x14ac:dyDescent="0.2">
      <c r="A7" s="15" t="s">
        <v>68</v>
      </c>
      <c r="B7" s="16" t="s">
        <v>67</v>
      </c>
      <c r="C7" s="1">
        <v>20</v>
      </c>
      <c r="D7" s="16">
        <v>0.74590000000000001</v>
      </c>
      <c r="E7" s="1">
        <v>1.1076999999999999</v>
      </c>
      <c r="F7" s="1">
        <v>0.53969999999999996</v>
      </c>
      <c r="G7" s="1">
        <v>1.1377999999999999</v>
      </c>
      <c r="H7" s="1">
        <v>9</v>
      </c>
      <c r="I7" s="1">
        <v>3</v>
      </c>
      <c r="J7" s="1">
        <v>4</v>
      </c>
      <c r="K7" s="1">
        <v>2</v>
      </c>
      <c r="L7" s="1">
        <v>1</v>
      </c>
      <c r="M7" s="1">
        <v>1</v>
      </c>
    </row>
    <row r="8" spans="1:13" x14ac:dyDescent="0.2">
      <c r="A8" s="15" t="s">
        <v>69</v>
      </c>
      <c r="B8" s="1" t="s">
        <v>65</v>
      </c>
      <c r="C8" s="1">
        <v>1</v>
      </c>
      <c r="D8" s="1">
        <v>1.2148000000000001</v>
      </c>
      <c r="E8" s="1">
        <v>1.2148000000000001</v>
      </c>
      <c r="F8" s="1">
        <v>1.2148000000000001</v>
      </c>
      <c r="G8" s="1">
        <v>1.2148000000000001</v>
      </c>
      <c r="H8" s="1">
        <v>10</v>
      </c>
      <c r="I8" s="1">
        <v>3</v>
      </c>
      <c r="J8" s="1">
        <v>4</v>
      </c>
      <c r="K8" s="1">
        <v>2</v>
      </c>
      <c r="L8" s="1">
        <v>1</v>
      </c>
      <c r="M8" s="1">
        <v>1</v>
      </c>
    </row>
    <row r="9" spans="1:13" x14ac:dyDescent="0.2">
      <c r="A9" s="15" t="s">
        <v>70</v>
      </c>
      <c r="B9" s="1" t="s">
        <v>61</v>
      </c>
      <c r="C9" s="1">
        <v>35</v>
      </c>
      <c r="D9" s="1">
        <v>1.1720999999999999</v>
      </c>
      <c r="E9" s="1">
        <v>1.794</v>
      </c>
      <c r="F9" s="1">
        <v>0.745</v>
      </c>
      <c r="G9" s="1">
        <v>2.7504</v>
      </c>
      <c r="H9" s="1">
        <v>11</v>
      </c>
      <c r="I9" s="1">
        <v>4</v>
      </c>
      <c r="J9" s="1">
        <v>5</v>
      </c>
      <c r="K9" s="1">
        <v>2</v>
      </c>
      <c r="L9" s="1">
        <v>1</v>
      </c>
      <c r="M9" s="1">
        <v>1</v>
      </c>
    </row>
    <row r="10" spans="1:13" x14ac:dyDescent="0.2">
      <c r="A10" s="15" t="s">
        <v>71</v>
      </c>
      <c r="B10" s="1" t="s">
        <v>61</v>
      </c>
      <c r="C10" s="1">
        <v>1</v>
      </c>
      <c r="D10" s="1">
        <v>1.9063000000000001</v>
      </c>
      <c r="E10" s="1">
        <v>1.9063000000000001</v>
      </c>
      <c r="F10" s="1">
        <v>1.9063000000000001</v>
      </c>
      <c r="G10" s="1">
        <v>1.9063000000000001</v>
      </c>
      <c r="H10" s="1">
        <v>12</v>
      </c>
      <c r="I10" s="1">
        <v>4</v>
      </c>
      <c r="J10" s="1">
        <v>5</v>
      </c>
      <c r="K10" s="1">
        <v>2</v>
      </c>
      <c r="L10" s="1">
        <v>1</v>
      </c>
      <c r="M10" s="1">
        <v>1</v>
      </c>
    </row>
    <row r="11" spans="1:13" x14ac:dyDescent="0.2">
      <c r="A11" s="15" t="s">
        <v>72</v>
      </c>
      <c r="B11" s="1" t="s">
        <v>61</v>
      </c>
      <c r="C11" s="1">
        <v>13</v>
      </c>
      <c r="D11" s="1">
        <v>1.5946</v>
      </c>
      <c r="E11" s="1">
        <v>2.2441</v>
      </c>
      <c r="F11" s="1">
        <v>1.0533999999999999</v>
      </c>
      <c r="G11" s="1">
        <v>2.7749999999999999</v>
      </c>
      <c r="H11" s="1">
        <v>16</v>
      </c>
      <c r="I11" s="1">
        <v>8</v>
      </c>
      <c r="J11" s="1">
        <v>10</v>
      </c>
      <c r="K11" s="1">
        <v>4</v>
      </c>
      <c r="L11" s="1">
        <v>1</v>
      </c>
      <c r="M11" s="1">
        <v>1</v>
      </c>
    </row>
    <row r="12" spans="1:13" x14ac:dyDescent="0.2">
      <c r="A12" s="15" t="s">
        <v>73</v>
      </c>
      <c r="B12" s="1" t="s">
        <v>61</v>
      </c>
      <c r="C12" s="1">
        <v>1</v>
      </c>
      <c r="D12" s="1">
        <v>1.5276000000000001</v>
      </c>
      <c r="E12" s="1">
        <v>1.5276000000000001</v>
      </c>
      <c r="F12" s="1">
        <v>1.5276000000000001</v>
      </c>
      <c r="G12" s="1">
        <v>1.5276000000000001</v>
      </c>
      <c r="H12" s="1">
        <v>23</v>
      </c>
      <c r="I12" s="1">
        <v>8</v>
      </c>
      <c r="J12" s="1">
        <v>10</v>
      </c>
      <c r="K12" s="1">
        <v>4</v>
      </c>
      <c r="L12" s="1">
        <v>1</v>
      </c>
      <c r="M12" s="1">
        <v>1</v>
      </c>
    </row>
    <row r="13" spans="1:13" x14ac:dyDescent="0.2">
      <c r="A13" s="15" t="s">
        <v>74</v>
      </c>
      <c r="B13" s="1" t="s">
        <v>61</v>
      </c>
      <c r="C13" s="1">
        <v>11</v>
      </c>
      <c r="D13" s="1">
        <v>2.0204</v>
      </c>
      <c r="E13" s="1">
        <v>3.1202000000000001</v>
      </c>
      <c r="F13" s="1">
        <v>1.2617</v>
      </c>
      <c r="G13" s="1">
        <v>3.6659000000000002</v>
      </c>
      <c r="H13" s="1">
        <v>25</v>
      </c>
      <c r="I13" s="1">
        <v>10</v>
      </c>
      <c r="J13" s="1">
        <v>10</v>
      </c>
      <c r="K13" s="1">
        <v>4</v>
      </c>
      <c r="L13" s="1">
        <v>1</v>
      </c>
      <c r="M13" s="1">
        <v>1</v>
      </c>
    </row>
    <row r="14" spans="1:13" x14ac:dyDescent="0.2">
      <c r="A14" s="15" t="s">
        <v>75</v>
      </c>
      <c r="B14" s="1" t="s">
        <v>65</v>
      </c>
      <c r="C14" s="1">
        <v>8</v>
      </c>
      <c r="D14" s="1">
        <v>2.2090000000000001</v>
      </c>
      <c r="E14" s="1">
        <v>2.6444000000000001</v>
      </c>
      <c r="F14" s="1">
        <v>1.1921999999999999</v>
      </c>
      <c r="G14" s="1">
        <v>3.7471999999999999</v>
      </c>
      <c r="H14" s="1">
        <v>25</v>
      </c>
      <c r="I14" s="1">
        <v>10</v>
      </c>
      <c r="J14" s="1">
        <v>10</v>
      </c>
      <c r="K14" s="1">
        <v>4</v>
      </c>
      <c r="L14" s="1">
        <v>1</v>
      </c>
      <c r="M14" s="1">
        <v>2</v>
      </c>
    </row>
    <row r="15" spans="1:13" x14ac:dyDescent="0.2">
      <c r="A15" s="15" t="s">
        <v>76</v>
      </c>
      <c r="B15" s="1" t="s">
        <v>61</v>
      </c>
      <c r="C15" s="1">
        <v>3</v>
      </c>
      <c r="D15" s="1">
        <v>1.6425000000000001</v>
      </c>
      <c r="E15" s="1">
        <v>1.6309</v>
      </c>
      <c r="F15" s="1">
        <v>1.4074</v>
      </c>
      <c r="G15" s="1">
        <v>1.8893</v>
      </c>
      <c r="H15" s="1">
        <v>25</v>
      </c>
      <c r="I15" s="1">
        <v>10</v>
      </c>
      <c r="J15" s="1">
        <v>10</v>
      </c>
      <c r="K15" s="1">
        <v>4</v>
      </c>
      <c r="L15" s="1">
        <v>1</v>
      </c>
      <c r="M15" s="1">
        <v>2</v>
      </c>
    </row>
    <row r="16" spans="1:13" x14ac:dyDescent="0.2">
      <c r="A16" s="15" t="s">
        <v>77</v>
      </c>
      <c r="B16" s="1" t="s">
        <v>65</v>
      </c>
      <c r="C16" s="1">
        <v>4</v>
      </c>
      <c r="D16" s="1">
        <v>4.0069999999999997</v>
      </c>
      <c r="E16" s="1">
        <v>2.6071</v>
      </c>
      <c r="F16" s="1">
        <v>1.9755</v>
      </c>
      <c r="G16" s="1">
        <v>8.9481999999999999</v>
      </c>
      <c r="H16" s="1">
        <v>25</v>
      </c>
      <c r="I16" s="1">
        <v>10</v>
      </c>
      <c r="J16" s="1">
        <v>10</v>
      </c>
      <c r="K16" s="1">
        <v>5</v>
      </c>
      <c r="L16" s="1">
        <v>1</v>
      </c>
      <c r="M16" s="1">
        <v>2</v>
      </c>
    </row>
    <row r="17" spans="1:13" x14ac:dyDescent="0.2">
      <c r="A17" s="15" t="s">
        <v>78</v>
      </c>
      <c r="B17" s="1" t="s">
        <v>61</v>
      </c>
      <c r="C17" s="1">
        <v>1</v>
      </c>
      <c r="D17" s="1">
        <v>11.6532</v>
      </c>
      <c r="E17" s="1">
        <v>11.6532</v>
      </c>
      <c r="F17" s="1">
        <v>11.6532</v>
      </c>
      <c r="G17" s="1">
        <v>11.6532</v>
      </c>
      <c r="H17" s="1">
        <v>26</v>
      </c>
      <c r="I17" s="1">
        <v>10</v>
      </c>
      <c r="J17" s="1">
        <v>10</v>
      </c>
      <c r="K17" s="1">
        <v>5</v>
      </c>
      <c r="L17" s="1">
        <v>1</v>
      </c>
      <c r="M17" s="1">
        <v>2</v>
      </c>
    </row>
    <row r="18" spans="1:13" x14ac:dyDescent="0.2">
      <c r="A18" s="15" t="s">
        <v>79</v>
      </c>
      <c r="B18" s="16" t="s">
        <v>67</v>
      </c>
      <c r="C18" s="1">
        <v>1</v>
      </c>
      <c r="D18" s="16">
        <v>9.6822999999999997</v>
      </c>
      <c r="E18" s="1">
        <v>9.6822999999999997</v>
      </c>
      <c r="F18" s="1">
        <v>9.6822999999999997</v>
      </c>
      <c r="G18" s="1">
        <v>9.6822999999999997</v>
      </c>
      <c r="H18" s="1">
        <v>26</v>
      </c>
      <c r="I18" s="1">
        <v>10</v>
      </c>
      <c r="J18" s="1">
        <v>10</v>
      </c>
      <c r="K18" s="1">
        <v>5</v>
      </c>
      <c r="L18" s="1">
        <v>1</v>
      </c>
      <c r="M18" s="1">
        <v>2</v>
      </c>
    </row>
    <row r="19" spans="1:13" x14ac:dyDescent="0.2">
      <c r="A19" s="15" t="s">
        <v>80</v>
      </c>
      <c r="B19" s="1" t="s">
        <v>61</v>
      </c>
      <c r="C19" s="1">
        <v>6</v>
      </c>
      <c r="D19" s="1">
        <v>13.621499999999999</v>
      </c>
      <c r="E19" s="1">
        <v>15.0688</v>
      </c>
      <c r="F19" s="1">
        <v>10.955500000000001</v>
      </c>
      <c r="G19" s="1">
        <v>16.1569</v>
      </c>
      <c r="H19" s="1">
        <v>26</v>
      </c>
      <c r="I19" s="1">
        <v>10</v>
      </c>
      <c r="J19" s="1">
        <v>10</v>
      </c>
      <c r="K19" s="1">
        <v>9</v>
      </c>
      <c r="L19" s="1">
        <v>1</v>
      </c>
      <c r="M19" s="1">
        <v>2</v>
      </c>
    </row>
    <row r="20" spans="1:13" x14ac:dyDescent="0.2">
      <c r="A20" s="15" t="s">
        <v>81</v>
      </c>
      <c r="B20" s="1" t="s">
        <v>67</v>
      </c>
      <c r="C20" s="1">
        <v>1</v>
      </c>
      <c r="D20" s="1">
        <v>15.818300000000001</v>
      </c>
      <c r="E20" s="1">
        <v>15.818300000000001</v>
      </c>
      <c r="F20" s="1">
        <v>15.818300000000001</v>
      </c>
      <c r="G20" s="1">
        <v>15.818300000000001</v>
      </c>
      <c r="H20" s="1">
        <v>30</v>
      </c>
      <c r="I20" s="1">
        <v>10</v>
      </c>
      <c r="J20" s="1">
        <v>10</v>
      </c>
      <c r="K20" s="1">
        <v>9</v>
      </c>
      <c r="L20" s="1">
        <v>1</v>
      </c>
      <c r="M20" s="1">
        <v>2</v>
      </c>
    </row>
    <row r="21" spans="1:13" x14ac:dyDescent="0.2">
      <c r="A21" s="15" t="s">
        <v>82</v>
      </c>
      <c r="B21" s="1" t="s">
        <v>61</v>
      </c>
      <c r="C21" s="1">
        <v>1</v>
      </c>
      <c r="D21" s="1">
        <v>17.9696</v>
      </c>
      <c r="E21" s="1">
        <v>17.9696</v>
      </c>
      <c r="F21" s="1">
        <v>17.9696</v>
      </c>
      <c r="G21" s="1">
        <v>17.9696</v>
      </c>
      <c r="H21" s="1">
        <v>30</v>
      </c>
      <c r="I21" s="1">
        <v>10</v>
      </c>
      <c r="J21" s="1">
        <v>10</v>
      </c>
      <c r="K21" s="1">
        <v>10</v>
      </c>
      <c r="L21" s="1">
        <v>1</v>
      </c>
      <c r="M21" s="1">
        <v>2</v>
      </c>
    </row>
    <row r="22" spans="1:13" x14ac:dyDescent="0.2">
      <c r="A22" s="15" t="s">
        <v>83</v>
      </c>
      <c r="B22" s="1" t="s">
        <v>65</v>
      </c>
      <c r="C22" s="1">
        <v>2</v>
      </c>
      <c r="D22" s="1">
        <v>17.916599999999999</v>
      </c>
      <c r="E22" s="1">
        <v>16.619299999999999</v>
      </c>
      <c r="F22" s="1">
        <v>16.619299999999999</v>
      </c>
      <c r="G22" s="1">
        <v>19.213799999999999</v>
      </c>
      <c r="H22" s="1">
        <v>31</v>
      </c>
      <c r="I22" s="1">
        <v>10</v>
      </c>
      <c r="J22" s="1">
        <v>10</v>
      </c>
      <c r="K22" s="1">
        <v>10</v>
      </c>
      <c r="L22" s="1">
        <v>1</v>
      </c>
      <c r="M22" s="1">
        <v>3</v>
      </c>
    </row>
    <row r="23" spans="1:13" x14ac:dyDescent="0.2">
      <c r="A23" s="15" t="s">
        <v>84</v>
      </c>
      <c r="B23" s="1" t="s">
        <v>61</v>
      </c>
      <c r="C23" s="1">
        <v>3</v>
      </c>
      <c r="D23" s="1">
        <v>15.122</v>
      </c>
      <c r="E23" s="1">
        <v>16.7102</v>
      </c>
      <c r="F23" s="1">
        <v>11.1914</v>
      </c>
      <c r="G23" s="1">
        <v>17.464600000000001</v>
      </c>
      <c r="H23" s="1">
        <v>31</v>
      </c>
      <c r="I23" s="1">
        <v>10</v>
      </c>
      <c r="J23" s="1">
        <v>10</v>
      </c>
      <c r="K23" s="1">
        <v>10</v>
      </c>
      <c r="L23" s="1">
        <v>2</v>
      </c>
      <c r="M23" s="1">
        <v>3</v>
      </c>
    </row>
    <row r="24" spans="1:13" x14ac:dyDescent="0.2">
      <c r="A24" s="15" t="s">
        <v>85</v>
      </c>
      <c r="B24" s="1" t="s">
        <v>67</v>
      </c>
      <c r="C24" s="1">
        <v>1</v>
      </c>
      <c r="D24" s="1">
        <v>18.7334</v>
      </c>
      <c r="E24" s="1">
        <v>18.7334</v>
      </c>
      <c r="F24" s="1">
        <v>18.7334</v>
      </c>
      <c r="G24" s="1">
        <v>18.7334</v>
      </c>
      <c r="H24" s="1">
        <v>32</v>
      </c>
      <c r="I24" s="1">
        <v>10</v>
      </c>
      <c r="J24" s="1">
        <v>10</v>
      </c>
      <c r="K24" s="1">
        <v>10</v>
      </c>
      <c r="L24" s="1">
        <v>2</v>
      </c>
      <c r="M24" s="1">
        <v>3</v>
      </c>
    </row>
    <row r="25" spans="1:13" x14ac:dyDescent="0.2">
      <c r="A25" s="15" t="s">
        <v>86</v>
      </c>
      <c r="B25" s="1" t="s">
        <v>61</v>
      </c>
      <c r="C25" s="1">
        <v>3</v>
      </c>
      <c r="D25" s="1">
        <v>19.293299999999999</v>
      </c>
      <c r="E25" s="1">
        <v>19.037500000000001</v>
      </c>
      <c r="F25" s="1">
        <v>18.027100000000001</v>
      </c>
      <c r="G25" s="1">
        <v>20.815300000000001</v>
      </c>
      <c r="H25" s="1">
        <v>32</v>
      </c>
      <c r="I25" s="1">
        <v>10</v>
      </c>
      <c r="J25" s="1">
        <v>10</v>
      </c>
      <c r="K25" s="1">
        <v>10</v>
      </c>
      <c r="L25" s="1">
        <v>3</v>
      </c>
      <c r="M25" s="1">
        <v>3</v>
      </c>
    </row>
    <row r="26" spans="1:13" x14ac:dyDescent="0.2">
      <c r="A26" s="15" t="s">
        <v>87</v>
      </c>
      <c r="B26" s="16" t="s">
        <v>67</v>
      </c>
      <c r="C26" s="1">
        <v>2</v>
      </c>
      <c r="D26" s="16">
        <v>17.939399999999999</v>
      </c>
      <c r="E26" s="1">
        <v>17.5932</v>
      </c>
      <c r="F26" s="1">
        <v>17.5932</v>
      </c>
      <c r="G26" s="1">
        <v>18.285499999999999</v>
      </c>
      <c r="H26" s="1">
        <v>33</v>
      </c>
      <c r="I26" s="1">
        <v>10</v>
      </c>
      <c r="J26" s="1">
        <v>10</v>
      </c>
      <c r="K26" s="1">
        <v>10</v>
      </c>
      <c r="L26" s="1">
        <v>3</v>
      </c>
      <c r="M26" s="1">
        <v>3</v>
      </c>
    </row>
    <row r="27" spans="1:13" x14ac:dyDescent="0.2">
      <c r="A27" s="15" t="s">
        <v>88</v>
      </c>
      <c r="B27" s="1" t="s">
        <v>61</v>
      </c>
      <c r="C27" s="1">
        <v>2</v>
      </c>
      <c r="D27" s="1">
        <v>15.9781</v>
      </c>
      <c r="E27" s="1">
        <v>15.464499999999999</v>
      </c>
      <c r="F27" s="1">
        <v>15.464499999999999</v>
      </c>
      <c r="G27" s="1">
        <v>16.491599999999998</v>
      </c>
      <c r="H27" s="1">
        <v>33</v>
      </c>
      <c r="I27" s="1">
        <v>10</v>
      </c>
      <c r="J27" s="1">
        <v>10</v>
      </c>
      <c r="K27" s="1">
        <v>10</v>
      </c>
      <c r="L27" s="1">
        <v>5</v>
      </c>
      <c r="M27" s="1">
        <v>3</v>
      </c>
    </row>
    <row r="28" spans="1:13" x14ac:dyDescent="0.2">
      <c r="A28" s="15" t="s">
        <v>89</v>
      </c>
      <c r="B28" s="1" t="s">
        <v>67</v>
      </c>
      <c r="C28" s="1">
        <v>2</v>
      </c>
      <c r="D28" s="1">
        <v>18.418299999999999</v>
      </c>
      <c r="E28" s="1">
        <v>17.5533</v>
      </c>
      <c r="F28" s="1">
        <v>17.5533</v>
      </c>
      <c r="G28" s="1">
        <v>19.2834</v>
      </c>
      <c r="H28" s="1">
        <v>35</v>
      </c>
      <c r="I28" s="1">
        <v>10</v>
      </c>
      <c r="J28" s="1">
        <v>10</v>
      </c>
      <c r="K28" s="1">
        <v>10</v>
      </c>
      <c r="L28" s="1">
        <v>5</v>
      </c>
      <c r="M28" s="1">
        <v>3</v>
      </c>
    </row>
    <row r="29" spans="1:13" x14ac:dyDescent="0.2">
      <c r="A29" s="15" t="s">
        <v>90</v>
      </c>
      <c r="B29" s="1" t="s">
        <v>61</v>
      </c>
      <c r="C29" s="1">
        <v>3</v>
      </c>
      <c r="D29" s="1">
        <v>20.226500000000001</v>
      </c>
      <c r="E29" s="1">
        <v>20.067</v>
      </c>
      <c r="F29" s="1">
        <v>19.817</v>
      </c>
      <c r="G29" s="1">
        <v>20.7956</v>
      </c>
      <c r="H29" s="1">
        <v>35</v>
      </c>
      <c r="I29" s="1">
        <v>10</v>
      </c>
      <c r="J29" s="1">
        <v>10</v>
      </c>
      <c r="K29" s="1">
        <v>10</v>
      </c>
      <c r="L29" s="1">
        <v>7</v>
      </c>
      <c r="M29" s="1">
        <v>3</v>
      </c>
    </row>
    <row r="30" spans="1:13" x14ac:dyDescent="0.2">
      <c r="A30" s="15" t="s">
        <v>91</v>
      </c>
      <c r="B30" s="16" t="s">
        <v>67</v>
      </c>
      <c r="C30" s="1">
        <v>1</v>
      </c>
      <c r="D30" s="16">
        <v>18.416</v>
      </c>
      <c r="E30" s="1">
        <v>18.416</v>
      </c>
      <c r="F30" s="1">
        <v>18.416</v>
      </c>
      <c r="G30" s="1">
        <v>18.416</v>
      </c>
      <c r="H30" s="1">
        <v>37</v>
      </c>
      <c r="I30" s="1">
        <v>10</v>
      </c>
      <c r="J30" s="1">
        <v>10</v>
      </c>
      <c r="K30" s="1">
        <v>10</v>
      </c>
      <c r="L30" s="1">
        <v>7</v>
      </c>
      <c r="M30" s="1">
        <v>3</v>
      </c>
    </row>
    <row r="31" spans="1:13" x14ac:dyDescent="0.2">
      <c r="A31" s="15" t="s">
        <v>92</v>
      </c>
      <c r="B31" s="1" t="s">
        <v>61</v>
      </c>
      <c r="C31" s="1">
        <v>4</v>
      </c>
      <c r="D31" s="1">
        <v>16.517700000000001</v>
      </c>
      <c r="E31" s="1">
        <v>16.892700000000001</v>
      </c>
      <c r="F31" s="1">
        <v>15.701599999999999</v>
      </c>
      <c r="G31" s="1">
        <v>17.0258</v>
      </c>
      <c r="H31" s="1">
        <v>38</v>
      </c>
      <c r="I31" s="1">
        <v>10</v>
      </c>
      <c r="J31" s="1">
        <v>10</v>
      </c>
      <c r="K31" s="1">
        <v>10</v>
      </c>
      <c r="L31" s="1">
        <v>10</v>
      </c>
      <c r="M31" s="1">
        <v>3</v>
      </c>
    </row>
    <row r="32" spans="1:13" x14ac:dyDescent="0.2">
      <c r="A32" s="15" t="s">
        <v>93</v>
      </c>
      <c r="B32" s="1" t="s">
        <v>67</v>
      </c>
      <c r="C32" s="1">
        <v>1</v>
      </c>
      <c r="D32" s="1">
        <v>22.5153</v>
      </c>
      <c r="E32" s="1">
        <v>22.5153</v>
      </c>
      <c r="F32" s="1">
        <v>22.5153</v>
      </c>
      <c r="G32" s="1">
        <v>22.5153</v>
      </c>
      <c r="H32" s="1">
        <v>40</v>
      </c>
      <c r="I32" s="1">
        <v>10</v>
      </c>
      <c r="J32" s="1">
        <v>10</v>
      </c>
      <c r="K32" s="1">
        <v>10</v>
      </c>
      <c r="L32" s="1">
        <v>10</v>
      </c>
      <c r="M32" s="1">
        <v>3</v>
      </c>
    </row>
    <row r="33" spans="1:13" x14ac:dyDescent="0.2">
      <c r="A33" s="15" t="s">
        <v>94</v>
      </c>
      <c r="B33" s="1" t="s">
        <v>95</v>
      </c>
      <c r="C33" s="1">
        <v>1</v>
      </c>
      <c r="D33" s="1">
        <v>19.712</v>
      </c>
      <c r="E33" s="1">
        <v>19.712</v>
      </c>
      <c r="F33" s="1">
        <v>19.712</v>
      </c>
      <c r="G33" s="1">
        <v>19.712</v>
      </c>
      <c r="H33" s="1">
        <v>40</v>
      </c>
      <c r="I33" s="1">
        <v>10</v>
      </c>
      <c r="J33" s="1">
        <v>10</v>
      </c>
      <c r="K33" s="1">
        <v>10</v>
      </c>
      <c r="L33" s="1">
        <v>10</v>
      </c>
      <c r="M33" s="1">
        <v>3</v>
      </c>
    </row>
  </sheetData>
  <conditionalFormatting sqref="A2:M33">
    <cfRule type="expression" dxfId="0" priority="1">
      <formula>AND($D2&lt;&gt;"",$D1&lt;&gt;"",$D2&gt;0,$D1&gt;0,$D2&lt;$D1)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Internal performance test</vt:lpstr>
      <vt:lpstr>Automation aprch 1 - mine later</vt:lpstr>
      <vt:lpstr>Automation aprch 2 - mine 1st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Sagar Gupta</dc:creator>
  <cp:keywords/>
  <dc:description/>
  <cp:lastModifiedBy>Gupta, Sagar Rajubhai</cp:lastModifiedBy>
  <cp:revision/>
  <dcterms:created xsi:type="dcterms:W3CDTF">2025-06-30T19:29:11Z</dcterms:created>
  <dcterms:modified xsi:type="dcterms:W3CDTF">2025-08-27T19:54:11Z</dcterms:modified>
  <cp:category/>
  <cp:contentStatus/>
</cp:coreProperties>
</file>